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AE DANIEL\06. 2026 - CALDAS FELIZ\01. SUMINISTRO\03. RPS\11. RPS - S3 (20 - 24 ABR)\"/>
    </mc:Choice>
  </mc:AlternateContent>
  <xr:revisionPtr revIDLastSave="0" documentId="8_{F2EAD403-DAD7-40F3-96F6-7B471FFE7394}" xr6:coauthVersionLast="47" xr6:coauthVersionMax="47" xr10:uidLastSave="{00000000-0000-0000-0000-000000000000}"/>
  <bookViews>
    <workbookView xWindow="-118" yWindow="-118" windowWidth="25370" windowHeight="13667" tabRatio="823" xr2:uid="{00000000-000D-0000-FFFF-FFFF00000000}"/>
  </bookViews>
  <sheets>
    <sheet name="CÁRNICOS" sheetId="3" r:id="rId1"/>
    <sheet name="CONSOLIDADO" sheetId="79" state="hidden" r:id="rId2"/>
    <sheet name="GUÍAS CERDO" sheetId="80" r:id="rId3"/>
    <sheet name="GUÍAS RES" sheetId="82" r:id="rId4"/>
    <sheet name="GUÍAS POLLO" sheetId="81" r:id="rId5"/>
  </sheets>
  <definedNames>
    <definedName name="_xlnm._FilterDatabase" localSheetId="0" hidden="1">CÁRNICOS!$A$7:$CA$121</definedName>
    <definedName name="_xlnm._FilterDatabase" localSheetId="1" hidden="1">CONSOLIDADO!$A$10:$AH$10</definedName>
    <definedName name="_xlnm._FilterDatabase" localSheetId="2" hidden="1">'GUÍAS CERDO'!$B$2:$B$306</definedName>
    <definedName name="_xlnm._FilterDatabase" localSheetId="4" hidden="1">'GUÍAS POLLO'!$B$2:$B$306</definedName>
    <definedName name="_xlnm._FilterDatabase" localSheetId="3" hidden="1">'GUÍAS RES'!$B$2:$B$306</definedName>
    <definedName name="_xlnm.Print_Area" localSheetId="0">CÁRNICOS!$L$3:$BP$118</definedName>
    <definedName name="_xlnm.Print_Area" localSheetId="1">CONSOLIDADO!$A$1:$AG$46</definedName>
    <definedName name="_xlnm.Print_Area" localSheetId="2">'GUÍAS CERDO'!$A$1:$F$442</definedName>
    <definedName name="_xlnm.Print_Area" localSheetId="4">'GUÍAS POLLO'!$A$1:$F$442</definedName>
    <definedName name="_xlnm.Print_Area" localSheetId="3">'GUÍAS RES'!$A$1:$F$442</definedName>
    <definedName name="_xlnm.Print_Titles" localSheetId="0">CÁRNICOS!$3:$7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E12" i="3" l="1"/>
  <c r="CF12" i="3"/>
  <c r="CH12" i="3"/>
  <c r="CI12" i="3"/>
  <c r="CJ12" i="3"/>
  <c r="BU63" i="3" l="1"/>
  <c r="BT63" i="3"/>
  <c r="BS63" i="3"/>
  <c r="BR63" i="3"/>
  <c r="C13" i="3"/>
  <c r="BU62" i="3"/>
  <c r="BT62" i="3"/>
  <c r="BS62" i="3"/>
  <c r="BR62" i="3"/>
  <c r="C12" i="3"/>
  <c r="BU61" i="3"/>
  <c r="BT61" i="3"/>
  <c r="BS61" i="3"/>
  <c r="BR61" i="3"/>
  <c r="C47" i="3"/>
  <c r="BU60" i="3"/>
  <c r="BT60" i="3"/>
  <c r="BS60" i="3"/>
  <c r="BR60" i="3"/>
  <c r="C48" i="3"/>
  <c r="BU59" i="3"/>
  <c r="BT59" i="3"/>
  <c r="BS59" i="3"/>
  <c r="BR59" i="3"/>
  <c r="C46" i="3"/>
  <c r="BU58" i="3"/>
  <c r="BT58" i="3"/>
  <c r="BS58" i="3"/>
  <c r="BR58" i="3"/>
  <c r="C50" i="3"/>
  <c r="BU57" i="3"/>
  <c r="BT57" i="3"/>
  <c r="BS57" i="3"/>
  <c r="BR57" i="3"/>
  <c r="C43" i="3"/>
  <c r="BU56" i="3"/>
  <c r="BT56" i="3"/>
  <c r="BS56" i="3"/>
  <c r="BR56" i="3"/>
  <c r="C44" i="3"/>
  <c r="BU55" i="3"/>
  <c r="BT55" i="3"/>
  <c r="BS55" i="3"/>
  <c r="BR55" i="3"/>
  <c r="C20" i="3"/>
  <c r="BU54" i="3"/>
  <c r="BT54" i="3"/>
  <c r="BS54" i="3"/>
  <c r="BR54" i="3"/>
  <c r="C21" i="3"/>
  <c r="BU53" i="3"/>
  <c r="BT53" i="3"/>
  <c r="BS53" i="3"/>
  <c r="BR53" i="3"/>
  <c r="C28" i="3"/>
  <c r="BU52" i="3"/>
  <c r="BT52" i="3"/>
  <c r="BS52" i="3"/>
  <c r="BR52" i="3"/>
  <c r="C27" i="3"/>
  <c r="BU51" i="3"/>
  <c r="BT51" i="3"/>
  <c r="BS51" i="3"/>
  <c r="BR51" i="3"/>
  <c r="C25" i="3"/>
  <c r="BU50" i="3"/>
  <c r="BT50" i="3"/>
  <c r="BS50" i="3"/>
  <c r="BR50" i="3"/>
  <c r="C19" i="3"/>
  <c r="B19" i="3"/>
  <c r="CJ28" i="3"/>
  <c r="CI28" i="3"/>
  <c r="CH28" i="3"/>
  <c r="CG28" i="3"/>
  <c r="CF28" i="3"/>
  <c r="CE28" i="3"/>
  <c r="CD28" i="3"/>
  <c r="BU28" i="3"/>
  <c r="BT28" i="3"/>
  <c r="BS28" i="3"/>
  <c r="BR28" i="3"/>
  <c r="C36" i="3"/>
  <c r="B36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78" i="3"/>
  <c r="P78" i="3"/>
  <c r="R78" i="3"/>
  <c r="S78" i="3"/>
  <c r="T78" i="3"/>
  <c r="CG13" i="3"/>
  <c r="CG14" i="3"/>
  <c r="CG15" i="3"/>
  <c r="CG16" i="3"/>
  <c r="CG17" i="3"/>
  <c r="CG18" i="3"/>
  <c r="CG19" i="3"/>
  <c r="CG20" i="3"/>
  <c r="CG21" i="3"/>
  <c r="CG22" i="3"/>
  <c r="CG23" i="3"/>
  <c r="CG24" i="3"/>
  <c r="CG25" i="3"/>
  <c r="CG26" i="3"/>
  <c r="CG27" i="3"/>
  <c r="CG29" i="3"/>
  <c r="CG30" i="3"/>
  <c r="CG31" i="3"/>
  <c r="CG32" i="3"/>
  <c r="CG33" i="3"/>
  <c r="CF13" i="3"/>
  <c r="CF14" i="3"/>
  <c r="CF15" i="3"/>
  <c r="CF16" i="3"/>
  <c r="CF17" i="3"/>
  <c r="CF18" i="3"/>
  <c r="CF19" i="3"/>
  <c r="CF20" i="3"/>
  <c r="CF21" i="3"/>
  <c r="CF22" i="3"/>
  <c r="CF23" i="3"/>
  <c r="CF24" i="3"/>
  <c r="CF25" i="3"/>
  <c r="CF26" i="3"/>
  <c r="CF27" i="3"/>
  <c r="CF29" i="3"/>
  <c r="CF30" i="3"/>
  <c r="CF31" i="3"/>
  <c r="CF32" i="3"/>
  <c r="CF33" i="3"/>
  <c r="F6" i="3" l="1"/>
  <c r="G6" i="3"/>
  <c r="H6" i="3"/>
  <c r="I6" i="3"/>
  <c r="J6" i="3"/>
  <c r="E6" i="3"/>
  <c r="BP84" i="3" l="1"/>
  <c r="BO84" i="3"/>
  <c r="BH84" i="3"/>
  <c r="BG84" i="3"/>
  <c r="AZ84" i="3"/>
  <c r="AY84" i="3"/>
  <c r="AR84" i="3"/>
  <c r="AQ84" i="3"/>
  <c r="AJ84" i="3"/>
  <c r="AI84" i="3"/>
  <c r="AB84" i="3"/>
  <c r="AA84" i="3"/>
  <c r="CF44" i="3" l="1"/>
  <c r="CG44" i="3"/>
  <c r="CH44" i="3"/>
  <c r="CI44" i="3"/>
  <c r="CJ44" i="3"/>
  <c r="CE44" i="3"/>
  <c r="CE14" i="3"/>
  <c r="CH14" i="3"/>
  <c r="CI14" i="3"/>
  <c r="CJ14" i="3"/>
  <c r="CE15" i="3"/>
  <c r="CH15" i="3"/>
  <c r="CI15" i="3"/>
  <c r="CJ15" i="3"/>
  <c r="CE16" i="3"/>
  <c r="CH16" i="3"/>
  <c r="CI16" i="3"/>
  <c r="CJ16" i="3"/>
  <c r="CE17" i="3"/>
  <c r="CH17" i="3"/>
  <c r="CI17" i="3"/>
  <c r="CJ17" i="3"/>
  <c r="CE18" i="3"/>
  <c r="CH18" i="3"/>
  <c r="CI18" i="3"/>
  <c r="CJ18" i="3"/>
  <c r="CE19" i="3"/>
  <c r="CH19" i="3"/>
  <c r="CI19" i="3"/>
  <c r="CJ19" i="3"/>
  <c r="CE20" i="3"/>
  <c r="CH20" i="3"/>
  <c r="CI20" i="3"/>
  <c r="CJ20" i="3"/>
  <c r="CE21" i="3"/>
  <c r="CH21" i="3"/>
  <c r="CI21" i="3"/>
  <c r="CJ21" i="3"/>
  <c r="CE22" i="3"/>
  <c r="CH22" i="3"/>
  <c r="CI22" i="3"/>
  <c r="CJ22" i="3"/>
  <c r="CE23" i="3"/>
  <c r="CH23" i="3"/>
  <c r="CI23" i="3"/>
  <c r="CJ23" i="3"/>
  <c r="CE24" i="3"/>
  <c r="CH24" i="3"/>
  <c r="CI24" i="3"/>
  <c r="CJ24" i="3"/>
  <c r="CE25" i="3"/>
  <c r="CH25" i="3"/>
  <c r="CI25" i="3"/>
  <c r="CJ25" i="3"/>
  <c r="CE26" i="3"/>
  <c r="CH26" i="3"/>
  <c r="CI26" i="3"/>
  <c r="CJ26" i="3"/>
  <c r="CE27" i="3"/>
  <c r="CH27" i="3"/>
  <c r="CI27" i="3"/>
  <c r="CJ27" i="3"/>
  <c r="CE29" i="3"/>
  <c r="CH29" i="3"/>
  <c r="CI29" i="3"/>
  <c r="CJ29" i="3"/>
  <c r="CE30" i="3"/>
  <c r="CH30" i="3"/>
  <c r="CI30" i="3"/>
  <c r="CJ30" i="3"/>
  <c r="CE31" i="3"/>
  <c r="CH31" i="3"/>
  <c r="CI31" i="3"/>
  <c r="CJ31" i="3"/>
  <c r="CE32" i="3"/>
  <c r="CH32" i="3"/>
  <c r="CI32" i="3"/>
  <c r="CJ32" i="3"/>
  <c r="CE33" i="3"/>
  <c r="CH33" i="3"/>
  <c r="CI33" i="3"/>
  <c r="CJ33" i="3"/>
  <c r="CE34" i="3"/>
  <c r="CF34" i="3"/>
  <c r="CG34" i="3"/>
  <c r="CH34" i="3"/>
  <c r="CI34" i="3"/>
  <c r="CJ34" i="3"/>
  <c r="CE35" i="3"/>
  <c r="CF35" i="3"/>
  <c r="CG35" i="3"/>
  <c r="CH35" i="3"/>
  <c r="CI35" i="3"/>
  <c r="CJ35" i="3"/>
  <c r="CE36" i="3"/>
  <c r="CF36" i="3"/>
  <c r="CG36" i="3"/>
  <c r="CH36" i="3"/>
  <c r="CI36" i="3"/>
  <c r="CJ36" i="3"/>
  <c r="CE37" i="3"/>
  <c r="CF37" i="3"/>
  <c r="CG37" i="3"/>
  <c r="CH37" i="3"/>
  <c r="CI37" i="3"/>
  <c r="CJ37" i="3"/>
  <c r="CE38" i="3"/>
  <c r="CF38" i="3"/>
  <c r="CG38" i="3"/>
  <c r="CH38" i="3"/>
  <c r="CI38" i="3"/>
  <c r="CJ38" i="3"/>
  <c r="CE39" i="3"/>
  <c r="CF39" i="3"/>
  <c r="CG39" i="3"/>
  <c r="CH39" i="3"/>
  <c r="CI39" i="3"/>
  <c r="CJ39" i="3"/>
  <c r="CE40" i="3"/>
  <c r="CF40" i="3"/>
  <c r="CG40" i="3"/>
  <c r="CH40" i="3"/>
  <c r="CI40" i="3"/>
  <c r="CJ40" i="3"/>
  <c r="CE41" i="3"/>
  <c r="CF41" i="3"/>
  <c r="CG41" i="3"/>
  <c r="CH41" i="3"/>
  <c r="CI41" i="3"/>
  <c r="CJ41" i="3"/>
  <c r="CE42" i="3"/>
  <c r="CF42" i="3"/>
  <c r="CG42" i="3"/>
  <c r="CH42" i="3"/>
  <c r="CI42" i="3"/>
  <c r="CJ42" i="3"/>
  <c r="CE43" i="3"/>
  <c r="CF43" i="3"/>
  <c r="CG43" i="3"/>
  <c r="CH43" i="3"/>
  <c r="CI43" i="3"/>
  <c r="CJ43" i="3"/>
  <c r="CE45" i="3"/>
  <c r="CF45" i="3"/>
  <c r="CG45" i="3"/>
  <c r="CH45" i="3"/>
  <c r="CI45" i="3"/>
  <c r="CJ45" i="3"/>
  <c r="CE46" i="3"/>
  <c r="CF46" i="3"/>
  <c r="CG46" i="3"/>
  <c r="CH46" i="3"/>
  <c r="CI46" i="3"/>
  <c r="CJ46" i="3"/>
  <c r="CE47" i="3"/>
  <c r="CF47" i="3"/>
  <c r="CG47" i="3"/>
  <c r="CH47" i="3"/>
  <c r="CI47" i="3"/>
  <c r="CJ47" i="3"/>
  <c r="CE48" i="3"/>
  <c r="CF48" i="3"/>
  <c r="CG48" i="3"/>
  <c r="CH48" i="3"/>
  <c r="CI48" i="3"/>
  <c r="CJ48" i="3"/>
  <c r="CD14" i="3"/>
  <c r="CD15" i="3"/>
  <c r="CD16" i="3"/>
  <c r="CD17" i="3"/>
  <c r="CD18" i="3"/>
  <c r="CD19" i="3"/>
  <c r="CD20" i="3"/>
  <c r="CD21" i="3"/>
  <c r="CD22" i="3"/>
  <c r="CD23" i="3"/>
  <c r="CD24" i="3"/>
  <c r="CD25" i="3"/>
  <c r="CD26" i="3"/>
  <c r="CD27" i="3"/>
  <c r="CD29" i="3"/>
  <c r="CD30" i="3"/>
  <c r="CD31" i="3"/>
  <c r="CD32" i="3"/>
  <c r="CD33" i="3"/>
  <c r="CD34" i="3"/>
  <c r="CD35" i="3"/>
  <c r="CD36" i="3"/>
  <c r="CD37" i="3"/>
  <c r="CD38" i="3"/>
  <c r="CD39" i="3"/>
  <c r="CD40" i="3"/>
  <c r="CD41" i="3"/>
  <c r="CD42" i="3"/>
  <c r="CD43" i="3"/>
  <c r="CD44" i="3"/>
  <c r="CD45" i="3"/>
  <c r="CD46" i="3"/>
  <c r="CD47" i="3"/>
  <c r="CD48" i="3"/>
  <c r="CD13" i="3"/>
  <c r="AU35" i="79" l="1"/>
  <c r="AT35" i="79"/>
  <c r="AS35" i="79"/>
  <c r="AR35" i="79"/>
  <c r="AV35" i="79" s="1"/>
  <c r="AG35" i="79"/>
  <c r="AF35" i="79"/>
  <c r="AE35" i="79"/>
  <c r="AD35" i="79"/>
  <c r="AC35" i="79"/>
  <c r="AB35" i="79"/>
  <c r="AA35" i="79"/>
  <c r="Z35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B78" i="3"/>
  <c r="B79" i="3"/>
  <c r="B80" i="3"/>
  <c r="B81" i="3"/>
  <c r="B82" i="3"/>
  <c r="B30" i="3"/>
  <c r="B22" i="3"/>
  <c r="B39" i="3"/>
  <c r="B40" i="3"/>
  <c r="B41" i="3"/>
  <c r="B42" i="3"/>
  <c r="B23" i="3"/>
  <c r="B24" i="3"/>
  <c r="B34" i="3"/>
  <c r="B45" i="3"/>
  <c r="B49" i="3"/>
  <c r="B55" i="3"/>
  <c r="B68" i="3"/>
  <c r="B69" i="3"/>
  <c r="B67" i="3"/>
  <c r="B35" i="3"/>
  <c r="B37" i="3"/>
  <c r="B32" i="3"/>
  <c r="B16" i="3"/>
  <c r="B31" i="3"/>
  <c r="B64" i="3"/>
  <c r="B63" i="3"/>
  <c r="B66" i="3"/>
  <c r="B8" i="3"/>
  <c r="B9" i="3"/>
  <c r="B10" i="3"/>
  <c r="B11" i="3"/>
  <c r="B14" i="3"/>
  <c r="B26" i="3"/>
  <c r="B29" i="3"/>
  <c r="B56" i="3"/>
  <c r="B57" i="3"/>
  <c r="B58" i="3"/>
  <c r="B59" i="3"/>
  <c r="B60" i="3"/>
  <c r="B18" i="3"/>
  <c r="B15" i="3"/>
  <c r="B65" i="3"/>
  <c r="B71" i="3"/>
  <c r="B17" i="3"/>
  <c r="H207" i="82"/>
  <c r="F2" i="3"/>
  <c r="G2" i="3"/>
  <c r="H2" i="3"/>
  <c r="I2" i="3"/>
  <c r="J2" i="3"/>
  <c r="E2" i="3"/>
  <c r="AH35" i="79" l="1"/>
  <c r="B38" i="3"/>
  <c r="B33" i="3"/>
  <c r="I411" i="80" l="1"/>
  <c r="I377" i="80"/>
  <c r="I343" i="80"/>
  <c r="I309" i="80"/>
  <c r="I275" i="80"/>
  <c r="I241" i="80"/>
  <c r="I207" i="80"/>
  <c r="I173" i="80"/>
  <c r="I139" i="80"/>
  <c r="I105" i="80"/>
  <c r="I71" i="80"/>
  <c r="I37" i="80"/>
  <c r="I3" i="80"/>
  <c r="I411" i="82"/>
  <c r="E412" i="82" s="1"/>
  <c r="I377" i="82"/>
  <c r="E378" i="82" s="1"/>
  <c r="I343" i="82"/>
  <c r="E344" i="82" s="1"/>
  <c r="I309" i="82"/>
  <c r="E310" i="82" s="1"/>
  <c r="I275" i="82"/>
  <c r="E276" i="82" s="1"/>
  <c r="I241" i="82"/>
  <c r="E242" i="82" s="1"/>
  <c r="I207" i="82"/>
  <c r="E208" i="82" s="1"/>
  <c r="I173" i="82"/>
  <c r="E174" i="82" s="1"/>
  <c r="I139" i="82"/>
  <c r="E140" i="82" s="1"/>
  <c r="I105" i="82"/>
  <c r="E106" i="82" s="1"/>
  <c r="I71" i="82"/>
  <c r="E72" i="82" s="1"/>
  <c r="I37" i="82"/>
  <c r="E38" i="82" s="1"/>
  <c r="I3" i="82"/>
  <c r="E4" i="82" s="1"/>
  <c r="E435" i="82"/>
  <c r="C434" i="82"/>
  <c r="C423" i="82"/>
  <c r="G412" i="82"/>
  <c r="H411" i="82"/>
  <c r="B411" i="82"/>
  <c r="E401" i="82"/>
  <c r="C400" i="82"/>
  <c r="C389" i="82"/>
  <c r="G378" i="82"/>
  <c r="H377" i="82"/>
  <c r="B377" i="82"/>
  <c r="E367" i="82"/>
  <c r="C366" i="82"/>
  <c r="C355" i="82"/>
  <c r="G344" i="82"/>
  <c r="H343" i="82"/>
  <c r="B343" i="82"/>
  <c r="E333" i="82"/>
  <c r="C332" i="82"/>
  <c r="C321" i="82"/>
  <c r="G310" i="82"/>
  <c r="H309" i="82"/>
  <c r="B309" i="82"/>
  <c r="E299" i="82"/>
  <c r="C298" i="82"/>
  <c r="C287" i="82"/>
  <c r="G276" i="82"/>
  <c r="H275" i="82"/>
  <c r="B275" i="82"/>
  <c r="E265" i="82"/>
  <c r="C264" i="82"/>
  <c r="C253" i="82"/>
  <c r="G242" i="82"/>
  <c r="H241" i="82"/>
  <c r="B241" i="82"/>
  <c r="E231" i="82"/>
  <c r="C230" i="82"/>
  <c r="C219" i="82"/>
  <c r="G208" i="82"/>
  <c r="B207" i="82"/>
  <c r="E197" i="82"/>
  <c r="C196" i="82"/>
  <c r="C185" i="82"/>
  <c r="G174" i="82"/>
  <c r="H173" i="82"/>
  <c r="B173" i="82"/>
  <c r="E163" i="82"/>
  <c r="C162" i="82"/>
  <c r="C151" i="82"/>
  <c r="G140" i="82"/>
  <c r="H139" i="82"/>
  <c r="B139" i="82"/>
  <c r="E129" i="82"/>
  <c r="C128" i="82"/>
  <c r="C117" i="82"/>
  <c r="G106" i="82"/>
  <c r="H105" i="82"/>
  <c r="B105" i="82"/>
  <c r="E95" i="82"/>
  <c r="C94" i="82"/>
  <c r="C83" i="82"/>
  <c r="G72" i="82"/>
  <c r="H71" i="82"/>
  <c r="B71" i="82"/>
  <c r="E61" i="82"/>
  <c r="C60" i="82"/>
  <c r="C49" i="82"/>
  <c r="G38" i="82"/>
  <c r="H37" i="82"/>
  <c r="B37" i="82"/>
  <c r="E27" i="82"/>
  <c r="C26" i="82"/>
  <c r="C15" i="82"/>
  <c r="G4" i="82"/>
  <c r="G412" i="81"/>
  <c r="G378" i="81"/>
  <c r="G344" i="81"/>
  <c r="G310" i="81"/>
  <c r="G276" i="81"/>
  <c r="G242" i="81"/>
  <c r="G208" i="81"/>
  <c r="G174" i="81"/>
  <c r="G140" i="81"/>
  <c r="G106" i="81"/>
  <c r="G72" i="81"/>
  <c r="G38" i="81"/>
  <c r="G4" i="81"/>
  <c r="G412" i="80"/>
  <c r="G378" i="80"/>
  <c r="G344" i="80"/>
  <c r="G310" i="80"/>
  <c r="G276" i="80"/>
  <c r="G242" i="80"/>
  <c r="G208" i="80"/>
  <c r="G174" i="80"/>
  <c r="G140" i="80"/>
  <c r="G106" i="80"/>
  <c r="G72" i="80"/>
  <c r="G38" i="80"/>
  <c r="G4" i="80"/>
  <c r="CE13" i="3"/>
  <c r="CH13" i="3"/>
  <c r="CI13" i="3"/>
  <c r="CJ13" i="3"/>
  <c r="U1" i="3"/>
  <c r="BZ98" i="3" l="1"/>
  <c r="CA98" i="3"/>
  <c r="BZ99" i="3"/>
  <c r="CA99" i="3"/>
  <c r="BZ100" i="3"/>
  <c r="CA100" i="3"/>
  <c r="BZ101" i="3"/>
  <c r="CA101" i="3"/>
  <c r="BZ102" i="3"/>
  <c r="CA102" i="3"/>
  <c r="BZ103" i="3"/>
  <c r="CA103" i="3"/>
  <c r="BZ104" i="3"/>
  <c r="CA104" i="3"/>
  <c r="BZ105" i="3"/>
  <c r="CA105" i="3"/>
  <c r="BZ106" i="3"/>
  <c r="CA106" i="3"/>
  <c r="BZ107" i="3"/>
  <c r="CA107" i="3"/>
  <c r="BZ108" i="3"/>
  <c r="CA108" i="3"/>
  <c r="BZ109" i="3"/>
  <c r="CA109" i="3"/>
  <c r="BZ110" i="3"/>
  <c r="CA110" i="3"/>
  <c r="BZ111" i="3"/>
  <c r="CA111" i="3"/>
  <c r="BZ112" i="3"/>
  <c r="CA112" i="3"/>
  <c r="BZ113" i="3"/>
  <c r="CA113" i="3"/>
  <c r="BZ114" i="3"/>
  <c r="CA114" i="3"/>
  <c r="BZ115" i="3"/>
  <c r="CA115" i="3"/>
  <c r="BZ116" i="3"/>
  <c r="CA116" i="3"/>
  <c r="BZ117" i="3"/>
  <c r="CA117" i="3"/>
  <c r="BZ118" i="3"/>
  <c r="CA118" i="3"/>
  <c r="BZ119" i="3"/>
  <c r="CA119" i="3"/>
  <c r="BZ120" i="3"/>
  <c r="CA120" i="3"/>
  <c r="BY98" i="3"/>
  <c r="BY99" i="3"/>
  <c r="BY100" i="3"/>
  <c r="BY101" i="3"/>
  <c r="BY102" i="3"/>
  <c r="BY103" i="3"/>
  <c r="BY104" i="3"/>
  <c r="BY105" i="3"/>
  <c r="BY106" i="3"/>
  <c r="BY107" i="3"/>
  <c r="BY108" i="3"/>
  <c r="BY109" i="3"/>
  <c r="BY110" i="3"/>
  <c r="BY111" i="3"/>
  <c r="BY112" i="3"/>
  <c r="BY113" i="3"/>
  <c r="BY114" i="3"/>
  <c r="BY115" i="3"/>
  <c r="BY116" i="3"/>
  <c r="BY117" i="3"/>
  <c r="BY118" i="3"/>
  <c r="BY119" i="3"/>
  <c r="BY120" i="3"/>
  <c r="O114" i="3"/>
  <c r="BJ114" i="3" s="1"/>
  <c r="O115" i="3"/>
  <c r="BJ115" i="3" s="1"/>
  <c r="O116" i="3"/>
  <c r="BJ116" i="3" s="1"/>
  <c r="T102" i="3"/>
  <c r="S102" i="3"/>
  <c r="R102" i="3"/>
  <c r="P102" i="3"/>
  <c r="P101" i="3"/>
  <c r="T100" i="3"/>
  <c r="S100" i="3"/>
  <c r="R100" i="3"/>
  <c r="P100" i="3"/>
  <c r="T99" i="3"/>
  <c r="T97" i="3"/>
  <c r="S97" i="3"/>
  <c r="R97" i="3"/>
  <c r="O117" i="3"/>
  <c r="BJ117" i="3" s="1"/>
  <c r="O118" i="3"/>
  <c r="BJ118" i="3" s="1"/>
  <c r="O119" i="3"/>
  <c r="BJ119" i="3" s="1"/>
  <c r="O120" i="3"/>
  <c r="BJ120" i="3" s="1"/>
  <c r="S85" i="3"/>
  <c r="T85" i="3"/>
  <c r="S86" i="3"/>
  <c r="T86" i="3"/>
  <c r="S87" i="3"/>
  <c r="T87" i="3"/>
  <c r="S88" i="3"/>
  <c r="T88" i="3"/>
  <c r="S89" i="3"/>
  <c r="T89" i="3"/>
  <c r="S90" i="3"/>
  <c r="T90" i="3"/>
  <c r="S91" i="3"/>
  <c r="T91" i="3"/>
  <c r="S92" i="3"/>
  <c r="T92" i="3"/>
  <c r="S93" i="3"/>
  <c r="T93" i="3"/>
  <c r="S94" i="3"/>
  <c r="T94" i="3"/>
  <c r="S95" i="3"/>
  <c r="T95" i="3"/>
  <c r="S96" i="3"/>
  <c r="T96" i="3"/>
  <c r="S103" i="3"/>
  <c r="T103" i="3"/>
  <c r="S104" i="3"/>
  <c r="S105" i="3"/>
  <c r="T105" i="3"/>
  <c r="S107" i="3"/>
  <c r="T108" i="3"/>
  <c r="S110" i="3"/>
  <c r="T110" i="3"/>
  <c r="S111" i="3"/>
  <c r="T111" i="3"/>
  <c r="S112" i="3"/>
  <c r="T112" i="3"/>
  <c r="S113" i="3"/>
  <c r="T113" i="3"/>
  <c r="R85" i="3"/>
  <c r="R86" i="3"/>
  <c r="R87" i="3"/>
  <c r="R88" i="3"/>
  <c r="R89" i="3"/>
  <c r="R90" i="3"/>
  <c r="R91" i="3"/>
  <c r="R92" i="3"/>
  <c r="R93" i="3"/>
  <c r="R94" i="3"/>
  <c r="R95" i="3"/>
  <c r="R96" i="3"/>
  <c r="R103" i="3"/>
  <c r="R104" i="3"/>
  <c r="R105" i="3"/>
  <c r="R110" i="3"/>
  <c r="R111" i="3"/>
  <c r="R112" i="3"/>
  <c r="R113" i="3"/>
  <c r="P86" i="3"/>
  <c r="P87" i="3"/>
  <c r="P88" i="3"/>
  <c r="P89" i="3"/>
  <c r="P90" i="3"/>
  <c r="P91" i="3"/>
  <c r="P92" i="3"/>
  <c r="P93" i="3"/>
  <c r="P94" i="3"/>
  <c r="P95" i="3"/>
  <c r="P96" i="3"/>
  <c r="P103" i="3"/>
  <c r="P104" i="3"/>
  <c r="P105" i="3"/>
  <c r="P106" i="3"/>
  <c r="P110" i="3"/>
  <c r="P111" i="3"/>
  <c r="P112" i="3"/>
  <c r="P113" i="3"/>
  <c r="P85" i="3"/>
  <c r="BU75" i="3"/>
  <c r="BT75" i="3"/>
  <c r="BS75" i="3"/>
  <c r="BR75" i="3"/>
  <c r="C75" i="3"/>
  <c r="BU74" i="3"/>
  <c r="BT74" i="3"/>
  <c r="BS74" i="3"/>
  <c r="BR74" i="3"/>
  <c r="C74" i="3"/>
  <c r="BU73" i="3"/>
  <c r="BT73" i="3"/>
  <c r="BS73" i="3"/>
  <c r="BR73" i="3"/>
  <c r="C73" i="3"/>
  <c r="BU72" i="3"/>
  <c r="BT72" i="3"/>
  <c r="BS72" i="3"/>
  <c r="BR72" i="3"/>
  <c r="C72" i="3"/>
  <c r="BU71" i="3"/>
  <c r="BT71" i="3"/>
  <c r="BS71" i="3"/>
  <c r="BR71" i="3"/>
  <c r="C61" i="3"/>
  <c r="BU70" i="3"/>
  <c r="BT70" i="3"/>
  <c r="BS70" i="3"/>
  <c r="BR70" i="3"/>
  <c r="C51" i="3"/>
  <c r="BU69" i="3"/>
  <c r="BT69" i="3"/>
  <c r="BS69" i="3"/>
  <c r="BR69" i="3"/>
  <c r="C62" i="3"/>
  <c r="BU68" i="3"/>
  <c r="BT68" i="3"/>
  <c r="BS68" i="3"/>
  <c r="BR68" i="3"/>
  <c r="C54" i="3"/>
  <c r="BU67" i="3"/>
  <c r="BT67" i="3"/>
  <c r="BS67" i="3"/>
  <c r="BR67" i="3"/>
  <c r="C52" i="3"/>
  <c r="BU66" i="3"/>
  <c r="BT66" i="3"/>
  <c r="BS66" i="3"/>
  <c r="BR66" i="3"/>
  <c r="C53" i="3"/>
  <c r="BU65" i="3"/>
  <c r="BT65" i="3"/>
  <c r="BS65" i="3"/>
  <c r="BR65" i="3"/>
  <c r="C70" i="3"/>
  <c r="BU64" i="3"/>
  <c r="BT64" i="3"/>
  <c r="BS64" i="3"/>
  <c r="BR64" i="3"/>
  <c r="C17" i="3"/>
  <c r="BU49" i="3"/>
  <c r="BT49" i="3"/>
  <c r="BS49" i="3"/>
  <c r="BR49" i="3"/>
  <c r="C71" i="3"/>
  <c r="BU48" i="3"/>
  <c r="BT48" i="3"/>
  <c r="BS48" i="3"/>
  <c r="BR48" i="3"/>
  <c r="C65" i="3"/>
  <c r="BU47" i="3"/>
  <c r="BT47" i="3"/>
  <c r="BS47" i="3"/>
  <c r="BR47" i="3"/>
  <c r="C15" i="3"/>
  <c r="BU46" i="3"/>
  <c r="BT46" i="3"/>
  <c r="BS46" i="3"/>
  <c r="BR46" i="3"/>
  <c r="C18" i="3"/>
  <c r="BU45" i="3"/>
  <c r="BT45" i="3"/>
  <c r="BS45" i="3"/>
  <c r="BR45" i="3"/>
  <c r="C60" i="3"/>
  <c r="BU44" i="3"/>
  <c r="BT44" i="3"/>
  <c r="BS44" i="3"/>
  <c r="BR44" i="3"/>
  <c r="C59" i="3"/>
  <c r="BU43" i="3"/>
  <c r="BT43" i="3"/>
  <c r="BS43" i="3"/>
  <c r="BR43" i="3"/>
  <c r="C58" i="3"/>
  <c r="BU42" i="3"/>
  <c r="BT42" i="3"/>
  <c r="BS42" i="3"/>
  <c r="BR42" i="3"/>
  <c r="C57" i="3"/>
  <c r="BU41" i="3"/>
  <c r="BT41" i="3"/>
  <c r="BS41" i="3"/>
  <c r="BR41" i="3"/>
  <c r="C56" i="3"/>
  <c r="BU40" i="3"/>
  <c r="BT40" i="3"/>
  <c r="BS40" i="3"/>
  <c r="BR40" i="3"/>
  <c r="C29" i="3"/>
  <c r="BU39" i="3"/>
  <c r="BT39" i="3"/>
  <c r="BS39" i="3"/>
  <c r="BR39" i="3"/>
  <c r="C26" i="3"/>
  <c r="BU38" i="3"/>
  <c r="BT38" i="3"/>
  <c r="BS38" i="3"/>
  <c r="BR38" i="3"/>
  <c r="C14" i="3"/>
  <c r="BU37" i="3"/>
  <c r="BT37" i="3"/>
  <c r="BS37" i="3"/>
  <c r="BR37" i="3"/>
  <c r="C11" i="3"/>
  <c r="BU36" i="3"/>
  <c r="BT36" i="3"/>
  <c r="BS36" i="3"/>
  <c r="BR36" i="3"/>
  <c r="C10" i="3"/>
  <c r="BU35" i="3"/>
  <c r="BT35" i="3"/>
  <c r="BS35" i="3"/>
  <c r="BR35" i="3"/>
  <c r="C9" i="3"/>
  <c r="BU34" i="3"/>
  <c r="BT34" i="3"/>
  <c r="BS34" i="3"/>
  <c r="BR34" i="3"/>
  <c r="C8" i="3"/>
  <c r="BU77" i="3"/>
  <c r="BT77" i="3"/>
  <c r="BS77" i="3"/>
  <c r="BR77" i="3"/>
  <c r="BU76" i="3"/>
  <c r="BT76" i="3"/>
  <c r="BS76" i="3"/>
  <c r="BR76" i="3"/>
  <c r="AT119" i="3" l="1"/>
  <c r="BB119" i="3"/>
  <c r="AT116" i="3"/>
  <c r="BB116" i="3"/>
  <c r="AT118" i="3"/>
  <c r="BB118" i="3"/>
  <c r="AT115" i="3"/>
  <c r="BB115" i="3"/>
  <c r="AT117" i="3"/>
  <c r="BB117" i="3"/>
  <c r="AT114" i="3"/>
  <c r="BB114" i="3"/>
  <c r="AT120" i="3"/>
  <c r="BB120" i="3"/>
  <c r="AD119" i="3"/>
  <c r="AL119" i="3"/>
  <c r="AD116" i="3"/>
  <c r="AL116" i="3"/>
  <c r="AD118" i="3"/>
  <c r="AL118" i="3"/>
  <c r="AD115" i="3"/>
  <c r="AL115" i="3"/>
  <c r="AD117" i="3"/>
  <c r="AL117" i="3"/>
  <c r="AD114" i="3"/>
  <c r="AL114" i="3"/>
  <c r="AD120" i="3"/>
  <c r="AL120" i="3"/>
  <c r="Q119" i="3"/>
  <c r="V119" i="3"/>
  <c r="Q116" i="3"/>
  <c r="V116" i="3"/>
  <c r="Q118" i="3"/>
  <c r="V118" i="3"/>
  <c r="Q115" i="3"/>
  <c r="V115" i="3"/>
  <c r="Q117" i="3"/>
  <c r="V117" i="3"/>
  <c r="Q114" i="3"/>
  <c r="V114" i="3"/>
  <c r="Q120" i="3"/>
  <c r="V120" i="3"/>
  <c r="BP119" i="3"/>
  <c r="BO119" i="3"/>
  <c r="BP116" i="3"/>
  <c r="BO116" i="3"/>
  <c r="BP118" i="3"/>
  <c r="BO118" i="3"/>
  <c r="BP115" i="3"/>
  <c r="BO115" i="3"/>
  <c r="BP117" i="3"/>
  <c r="BO117" i="3"/>
  <c r="BP114" i="3"/>
  <c r="BO114" i="3"/>
  <c r="BP120" i="3"/>
  <c r="BO120" i="3"/>
  <c r="BH118" i="3"/>
  <c r="BG118" i="3"/>
  <c r="BH115" i="3"/>
  <c r="BG115" i="3"/>
  <c r="BH117" i="3"/>
  <c r="BG117" i="3"/>
  <c r="BH114" i="3"/>
  <c r="BG114" i="3"/>
  <c r="BH119" i="3"/>
  <c r="BG119" i="3"/>
  <c r="BH116" i="3"/>
  <c r="BG116" i="3"/>
  <c r="BH120" i="3"/>
  <c r="BG120" i="3"/>
  <c r="AZ119" i="3"/>
  <c r="AY119" i="3"/>
  <c r="AZ116" i="3"/>
  <c r="AY116" i="3"/>
  <c r="AZ118" i="3"/>
  <c r="AY118" i="3"/>
  <c r="AZ115" i="3"/>
  <c r="AY115" i="3"/>
  <c r="AZ117" i="3"/>
  <c r="AY117" i="3"/>
  <c r="AZ114" i="3"/>
  <c r="AY114" i="3"/>
  <c r="AZ120" i="3"/>
  <c r="AY120" i="3"/>
  <c r="AR119" i="3"/>
  <c r="AQ119" i="3"/>
  <c r="AJ119" i="3"/>
  <c r="AI119" i="3"/>
  <c r="AR116" i="3"/>
  <c r="AQ116" i="3"/>
  <c r="AI116" i="3"/>
  <c r="AJ116" i="3"/>
  <c r="AR118" i="3"/>
  <c r="AQ118" i="3"/>
  <c r="AI118" i="3"/>
  <c r="AJ118" i="3"/>
  <c r="AR115" i="3"/>
  <c r="AQ115" i="3"/>
  <c r="AJ115" i="3"/>
  <c r="AI115" i="3"/>
  <c r="AR117" i="3"/>
  <c r="AQ117" i="3"/>
  <c r="AJ117" i="3"/>
  <c r="AI117" i="3"/>
  <c r="AR114" i="3"/>
  <c r="AQ114" i="3"/>
  <c r="AI114" i="3"/>
  <c r="AJ114" i="3"/>
  <c r="AR120" i="3"/>
  <c r="AQ120" i="3"/>
  <c r="AI120" i="3"/>
  <c r="AJ120" i="3"/>
  <c r="AB119" i="3"/>
  <c r="AB116" i="3"/>
  <c r="AB118" i="3"/>
  <c r="AB115" i="3"/>
  <c r="AB117" i="3"/>
  <c r="AB114" i="3"/>
  <c r="AB120" i="3"/>
  <c r="AV120" i="3"/>
  <c r="AA120" i="3"/>
  <c r="AF119" i="3"/>
  <c r="AA119" i="3"/>
  <c r="AC116" i="3"/>
  <c r="AA116" i="3"/>
  <c r="AG118" i="3"/>
  <c r="AA118" i="3"/>
  <c r="AU115" i="3"/>
  <c r="AA115" i="3"/>
  <c r="AC117" i="3"/>
  <c r="AA117" i="3"/>
  <c r="BI114" i="3"/>
  <c r="AA114" i="3"/>
  <c r="S120" i="3"/>
  <c r="BL120" i="3"/>
  <c r="AH120" i="3"/>
  <c r="Z120" i="3"/>
  <c r="R120" i="3"/>
  <c r="BK120" i="3"/>
  <c r="BI120" i="3"/>
  <c r="BE120" i="3"/>
  <c r="Y120" i="3"/>
  <c r="BA120" i="3"/>
  <c r="P120" i="3"/>
  <c r="X120" i="3"/>
  <c r="AN120" i="3"/>
  <c r="U120" i="3"/>
  <c r="AM120" i="3"/>
  <c r="T120" i="3"/>
  <c r="AK120" i="3"/>
  <c r="BF119" i="3"/>
  <c r="AP119" i="3"/>
  <c r="BS119" i="3" s="1"/>
  <c r="AW120" i="3"/>
  <c r="AC119" i="3"/>
  <c r="AN119" i="3"/>
  <c r="BN119" i="3"/>
  <c r="BA119" i="3"/>
  <c r="AM119" i="3"/>
  <c r="BE115" i="3"/>
  <c r="R119" i="3"/>
  <c r="Y119" i="3"/>
  <c r="X119" i="3"/>
  <c r="BM119" i="3"/>
  <c r="AX119" i="3"/>
  <c r="AK119" i="3"/>
  <c r="BF114" i="3"/>
  <c r="BD119" i="3"/>
  <c r="AO119" i="3"/>
  <c r="BC119" i="3"/>
  <c r="P119" i="3"/>
  <c r="W119" i="3"/>
  <c r="U119" i="3"/>
  <c r="AS120" i="3"/>
  <c r="BL119" i="3"/>
  <c r="AW119" i="3"/>
  <c r="AH119" i="3"/>
  <c r="AW114" i="3"/>
  <c r="BF115" i="3"/>
  <c r="BK119" i="3"/>
  <c r="AV119" i="3"/>
  <c r="AG119" i="3"/>
  <c r="AS114" i="3"/>
  <c r="Z119" i="3"/>
  <c r="T119" i="3"/>
  <c r="S119" i="3"/>
  <c r="BI119" i="3"/>
  <c r="AU119" i="3"/>
  <c r="AE119" i="3"/>
  <c r="S115" i="3"/>
  <c r="AP116" i="3"/>
  <c r="BS116" i="3" s="1"/>
  <c r="AP115" i="3"/>
  <c r="BS115" i="3" s="1"/>
  <c r="AH114" i="3"/>
  <c r="Y114" i="3"/>
  <c r="AX120" i="3"/>
  <c r="AF120" i="3"/>
  <c r="BE119" i="3"/>
  <c r="AS119" i="3"/>
  <c r="AO116" i="3"/>
  <c r="AE115" i="3"/>
  <c r="AG114" i="3"/>
  <c r="BD116" i="3"/>
  <c r="BD115" i="3"/>
  <c r="BC116" i="3"/>
  <c r="AK114" i="3"/>
  <c r="AE116" i="3"/>
  <c r="BK114" i="3"/>
  <c r="X118" i="3"/>
  <c r="BN116" i="3"/>
  <c r="U116" i="3"/>
  <c r="AF116" i="3"/>
  <c r="T116" i="3"/>
  <c r="P114" i="3"/>
  <c r="X114" i="3"/>
  <c r="W120" i="3"/>
  <c r="W114" i="3"/>
  <c r="BM120" i="3"/>
  <c r="BE118" i="3"/>
  <c r="P118" i="3"/>
  <c r="AS118" i="3"/>
  <c r="AF118" i="3"/>
  <c r="BN118" i="3"/>
  <c r="BC118" i="3"/>
  <c r="AC118" i="3"/>
  <c r="T118" i="3"/>
  <c r="S118" i="3"/>
  <c r="BL118" i="3"/>
  <c r="AX118" i="3"/>
  <c r="AM118" i="3"/>
  <c r="BM117" i="3"/>
  <c r="X117" i="3"/>
  <c r="BK118" i="3"/>
  <c r="AW118" i="3"/>
  <c r="AK118" i="3"/>
  <c r="BA117" i="3"/>
  <c r="BI118" i="3"/>
  <c r="AV118" i="3"/>
  <c r="AH118" i="3"/>
  <c r="AN117" i="3"/>
  <c r="W118" i="3"/>
  <c r="BD118" i="3"/>
  <c r="AP118" i="3"/>
  <c r="BS118" i="3" s="1"/>
  <c r="AE118" i="3"/>
  <c r="U118" i="3"/>
  <c r="AO118" i="3"/>
  <c r="BM118" i="3"/>
  <c r="BA118" i="3"/>
  <c r="AN118" i="3"/>
  <c r="Z118" i="3"/>
  <c r="R118" i="3"/>
  <c r="Y118" i="3"/>
  <c r="BF118" i="3"/>
  <c r="AU118" i="3"/>
  <c r="Z117" i="3"/>
  <c r="T98" i="3"/>
  <c r="S98" i="3"/>
  <c r="P98" i="3"/>
  <c r="R98" i="3"/>
  <c r="AH115" i="3"/>
  <c r="AF115" i="3"/>
  <c r="AG115" i="3"/>
  <c r="AS115" i="3"/>
  <c r="AM114" i="3"/>
  <c r="AU114" i="3"/>
  <c r="AV114" i="3"/>
  <c r="AF114" i="3"/>
  <c r="BE114" i="3"/>
  <c r="AC120" i="3"/>
  <c r="AO120" i="3"/>
  <c r="BC120" i="3"/>
  <c r="BN120" i="3"/>
  <c r="AE120" i="3"/>
  <c r="AP120" i="3"/>
  <c r="BS120" i="3" s="1"/>
  <c r="BD120" i="3"/>
  <c r="AG120" i="3"/>
  <c r="AU120" i="3"/>
  <c r="BF120" i="3"/>
  <c r="T104" i="3"/>
  <c r="T101" i="3"/>
  <c r="S101" i="3"/>
  <c r="R101" i="3"/>
  <c r="P99" i="3"/>
  <c r="R99" i="3"/>
  <c r="P97" i="3"/>
  <c r="S99" i="3"/>
  <c r="W117" i="3"/>
  <c r="S108" i="3"/>
  <c r="T117" i="3"/>
  <c r="R115" i="3"/>
  <c r="R107" i="3"/>
  <c r="S117" i="3"/>
  <c r="X115" i="3"/>
  <c r="U114" i="3"/>
  <c r="S109" i="3"/>
  <c r="BF117" i="3"/>
  <c r="AU117" i="3"/>
  <c r="AG117" i="3"/>
  <c r="BK116" i="3"/>
  <c r="AW116" i="3"/>
  <c r="AK116" i="3"/>
  <c r="BM115" i="3"/>
  <c r="BA115" i="3"/>
  <c r="AN115" i="3"/>
  <c r="Z115" i="3"/>
  <c r="BD114" i="3"/>
  <c r="AP114" i="3"/>
  <c r="BS114" i="3" s="1"/>
  <c r="AE114" i="3"/>
  <c r="BK117" i="3"/>
  <c r="AW117" i="3"/>
  <c r="AK117" i="3"/>
  <c r="BM116" i="3"/>
  <c r="BA116" i="3"/>
  <c r="AN116" i="3"/>
  <c r="Z116" i="3"/>
  <c r="Y115" i="3"/>
  <c r="T109" i="3"/>
  <c r="BI117" i="3"/>
  <c r="AV117" i="3"/>
  <c r="AH117" i="3"/>
  <c r="BL116" i="3"/>
  <c r="AX116" i="3"/>
  <c r="AM116" i="3"/>
  <c r="BN115" i="3"/>
  <c r="BC115" i="3"/>
  <c r="AO115" i="3"/>
  <c r="AC115" i="3"/>
  <c r="Y116" i="3"/>
  <c r="W115" i="3"/>
  <c r="T114" i="3"/>
  <c r="T106" i="3"/>
  <c r="BE117" i="3"/>
  <c r="AS117" i="3"/>
  <c r="AF117" i="3"/>
  <c r="BI116" i="3"/>
  <c r="AV116" i="3"/>
  <c r="AH116" i="3"/>
  <c r="BL115" i="3"/>
  <c r="AX115" i="3"/>
  <c r="AM115" i="3"/>
  <c r="BN114" i="3"/>
  <c r="BC114" i="3"/>
  <c r="AO114" i="3"/>
  <c r="AC114" i="3"/>
  <c r="R117" i="3"/>
  <c r="R109" i="3"/>
  <c r="P117" i="3"/>
  <c r="P109" i="3"/>
  <c r="R114" i="3"/>
  <c r="R106" i="3"/>
  <c r="P116" i="3"/>
  <c r="P108" i="3"/>
  <c r="X116" i="3"/>
  <c r="U115" i="3"/>
  <c r="S114" i="3"/>
  <c r="S106" i="3"/>
  <c r="BD117" i="3"/>
  <c r="AP117" i="3"/>
  <c r="BS117" i="3" s="1"/>
  <c r="AE117" i="3"/>
  <c r="BF116" i="3"/>
  <c r="AU116" i="3"/>
  <c r="AG116" i="3"/>
  <c r="BK115" i="3"/>
  <c r="AW115" i="3"/>
  <c r="AK115" i="3"/>
  <c r="BM114" i="3"/>
  <c r="BA114" i="3"/>
  <c r="AN114" i="3"/>
  <c r="Z114" i="3"/>
  <c r="BL117" i="3"/>
  <c r="AX117" i="3"/>
  <c r="AM117" i="3"/>
  <c r="U117" i="3"/>
  <c r="S116" i="3"/>
  <c r="R116" i="3"/>
  <c r="R108" i="3"/>
  <c r="P115" i="3"/>
  <c r="P107" i="3"/>
  <c r="Y117" i="3"/>
  <c r="W116" i="3"/>
  <c r="T115" i="3"/>
  <c r="T107" i="3"/>
  <c r="BN117" i="3"/>
  <c r="BC117" i="3"/>
  <c r="AO117" i="3"/>
  <c r="BE116" i="3"/>
  <c r="AS116" i="3"/>
  <c r="BI115" i="3"/>
  <c r="AV115" i="3"/>
  <c r="BL114" i="3"/>
  <c r="AX114" i="3"/>
  <c r="BU9" i="3"/>
  <c r="BT9" i="3"/>
  <c r="BS9" i="3"/>
  <c r="BR9" i="3"/>
  <c r="C38" i="3"/>
  <c r="Q121" i="3" l="1"/>
  <c r="BT117" i="3"/>
  <c r="BT114" i="3"/>
  <c r="BT118" i="3"/>
  <c r="BT120" i="3"/>
  <c r="BT119" i="3"/>
  <c r="BT115" i="3"/>
  <c r="BT116" i="3"/>
  <c r="BR120" i="3"/>
  <c r="BR114" i="3"/>
  <c r="BR119" i="3"/>
  <c r="BR115" i="3"/>
  <c r="BR117" i="3"/>
  <c r="BR116" i="3"/>
  <c r="BR118" i="3"/>
  <c r="E401" i="81"/>
  <c r="C400" i="81"/>
  <c r="C389" i="81"/>
  <c r="I377" i="81"/>
  <c r="E378" i="81" s="1"/>
  <c r="H377" i="81"/>
  <c r="B377" i="81"/>
  <c r="E401" i="80"/>
  <c r="C400" i="80"/>
  <c r="C389" i="80"/>
  <c r="E378" i="80"/>
  <c r="H377" i="80"/>
  <c r="B377" i="80"/>
  <c r="E412" i="80"/>
  <c r="E344" i="80"/>
  <c r="E310" i="80"/>
  <c r="E276" i="80"/>
  <c r="E242" i="80"/>
  <c r="E208" i="80"/>
  <c r="E174" i="80"/>
  <c r="E140" i="80"/>
  <c r="E106" i="80"/>
  <c r="E72" i="80"/>
  <c r="E38" i="80"/>
  <c r="E4" i="80"/>
  <c r="I411" i="81"/>
  <c r="E412" i="81" s="1"/>
  <c r="I343" i="81"/>
  <c r="E344" i="81" s="1"/>
  <c r="I309" i="81"/>
  <c r="E310" i="81" s="1"/>
  <c r="I275" i="81"/>
  <c r="E276" i="81" s="1"/>
  <c r="I241" i="81"/>
  <c r="E242" i="81" s="1"/>
  <c r="I207" i="81"/>
  <c r="E208" i="81" s="1"/>
  <c r="I173" i="81"/>
  <c r="E174" i="81" s="1"/>
  <c r="I139" i="81"/>
  <c r="E140" i="81" s="1"/>
  <c r="I105" i="81"/>
  <c r="E106" i="81" s="1"/>
  <c r="I71" i="81"/>
  <c r="E72" i="81" s="1"/>
  <c r="I37" i="81"/>
  <c r="E38" i="81" s="1"/>
  <c r="I3" i="81"/>
  <c r="E4" i="81" s="1"/>
  <c r="E435" i="81"/>
  <c r="E435" i="80"/>
  <c r="E367" i="81"/>
  <c r="E367" i="80"/>
  <c r="E333" i="81"/>
  <c r="E333" i="80"/>
  <c r="E299" i="81"/>
  <c r="E299" i="80"/>
  <c r="E265" i="81"/>
  <c r="E265" i="80"/>
  <c r="E231" i="81"/>
  <c r="E231" i="80"/>
  <c r="E197" i="81"/>
  <c r="E197" i="80"/>
  <c r="E163" i="81"/>
  <c r="E163" i="80"/>
  <c r="E129" i="81"/>
  <c r="E129" i="80"/>
  <c r="E95" i="81"/>
  <c r="E95" i="80"/>
  <c r="E61" i="81"/>
  <c r="E61" i="80"/>
  <c r="E27" i="81"/>
  <c r="E27" i="80"/>
  <c r="C434" i="81"/>
  <c r="C423" i="81"/>
  <c r="H411" i="81"/>
  <c r="B411" i="81"/>
  <c r="C366" i="81"/>
  <c r="C355" i="81"/>
  <c r="H343" i="81"/>
  <c r="B343" i="81"/>
  <c r="C332" i="81"/>
  <c r="C321" i="81"/>
  <c r="H309" i="81"/>
  <c r="B309" i="81"/>
  <c r="C434" i="80"/>
  <c r="C423" i="80"/>
  <c r="H411" i="80"/>
  <c r="B411" i="80"/>
  <c r="C366" i="80"/>
  <c r="C355" i="80"/>
  <c r="H343" i="80"/>
  <c r="B343" i="80"/>
  <c r="C332" i="80"/>
  <c r="C321" i="80"/>
  <c r="H309" i="80"/>
  <c r="B309" i="80"/>
  <c r="BW7" i="3" l="1"/>
  <c r="BX7" i="3"/>
  <c r="BV7" i="3"/>
  <c r="B275" i="80" l="1"/>
  <c r="B241" i="80"/>
  <c r="B207" i="80"/>
  <c r="B173" i="80"/>
  <c r="B139" i="80"/>
  <c r="B105" i="80"/>
  <c r="B71" i="80"/>
  <c r="B37" i="80"/>
  <c r="B275" i="81"/>
  <c r="B241" i="81"/>
  <c r="B207" i="81"/>
  <c r="B173" i="81"/>
  <c r="B139" i="81"/>
  <c r="B105" i="81"/>
  <c r="B71" i="81"/>
  <c r="B37" i="81"/>
  <c r="C287" i="81"/>
  <c r="C253" i="81"/>
  <c r="C219" i="81"/>
  <c r="C185" i="81"/>
  <c r="C151" i="81"/>
  <c r="C117" i="81"/>
  <c r="C83" i="81"/>
  <c r="C49" i="81"/>
  <c r="C15" i="81"/>
  <c r="C298" i="81"/>
  <c r="H275" i="81"/>
  <c r="C264" i="81"/>
  <c r="H241" i="81"/>
  <c r="C230" i="81"/>
  <c r="H207" i="81"/>
  <c r="C196" i="81"/>
  <c r="H173" i="81"/>
  <c r="C162" i="81"/>
  <c r="H139" i="81"/>
  <c r="C128" i="81"/>
  <c r="H105" i="81"/>
  <c r="C94" i="81"/>
  <c r="H71" i="81"/>
  <c r="C60" i="81"/>
  <c r="H37" i="81"/>
  <c r="C26" i="81"/>
  <c r="C287" i="80" l="1"/>
  <c r="C253" i="80"/>
  <c r="C219" i="80"/>
  <c r="C185" i="80"/>
  <c r="C151" i="80"/>
  <c r="C117" i="80"/>
  <c r="C83" i="80"/>
  <c r="C49" i="80"/>
  <c r="C15" i="80"/>
  <c r="C298" i="80"/>
  <c r="C264" i="80"/>
  <c r="C230" i="80"/>
  <c r="C196" i="80"/>
  <c r="C162" i="80"/>
  <c r="C128" i="80"/>
  <c r="C94" i="80"/>
  <c r="C60" i="80"/>
  <c r="C26" i="80"/>
  <c r="H275" i="80"/>
  <c r="H241" i="80"/>
  <c r="H207" i="80"/>
  <c r="H173" i="80"/>
  <c r="H139" i="80"/>
  <c r="H105" i="80"/>
  <c r="H71" i="80"/>
  <c r="H37" i="80"/>
  <c r="AU39" i="79" l="1"/>
  <c r="AU37" i="79"/>
  <c r="AU30" i="79"/>
  <c r="AU28" i="79"/>
  <c r="AU26" i="79"/>
  <c r="AU25" i="79"/>
  <c r="AT39" i="79"/>
  <c r="AT37" i="79"/>
  <c r="AT30" i="79"/>
  <c r="AT28" i="79"/>
  <c r="AT26" i="79"/>
  <c r="AT25" i="79"/>
  <c r="AS39" i="79"/>
  <c r="AS37" i="79"/>
  <c r="AS30" i="79"/>
  <c r="AS28" i="79"/>
  <c r="AS26" i="79"/>
  <c r="AS25" i="79"/>
  <c r="AR39" i="79"/>
  <c r="AR37" i="79"/>
  <c r="AR30" i="79"/>
  <c r="AR28" i="79"/>
  <c r="AR26" i="79"/>
  <c r="AR25" i="79"/>
  <c r="AT131" i="79"/>
  <c r="AT130" i="79"/>
  <c r="AT129" i="79"/>
  <c r="AT128" i="79"/>
  <c r="AT127" i="79"/>
  <c r="AT126" i="79"/>
  <c r="AT125" i="79"/>
  <c r="AT124" i="79"/>
  <c r="AT123" i="79"/>
  <c r="AT122" i="79"/>
  <c r="AT121" i="79"/>
  <c r="AT120" i="79"/>
  <c r="AT119" i="79"/>
  <c r="AT118" i="79"/>
  <c r="AT117" i="79"/>
  <c r="AT116" i="79"/>
  <c r="AV37" i="79" l="1"/>
  <c r="AV39" i="79"/>
  <c r="AV30" i="79"/>
  <c r="AV25" i="79"/>
  <c r="AV26" i="79"/>
  <c r="AV28" i="79"/>
  <c r="W10" i="79"/>
  <c r="BR10" i="3" l="1"/>
  <c r="BS10" i="3"/>
  <c r="BT10" i="3"/>
  <c r="BU10" i="3"/>
  <c r="BR11" i="3"/>
  <c r="BS11" i="3"/>
  <c r="BT11" i="3"/>
  <c r="BU11" i="3"/>
  <c r="BR12" i="3"/>
  <c r="BS12" i="3"/>
  <c r="BT12" i="3"/>
  <c r="BU12" i="3"/>
  <c r="BR13" i="3"/>
  <c r="BS13" i="3"/>
  <c r="BT13" i="3"/>
  <c r="BU13" i="3"/>
  <c r="BR14" i="3"/>
  <c r="BS14" i="3"/>
  <c r="BT14" i="3"/>
  <c r="BU14" i="3"/>
  <c r="BR15" i="3"/>
  <c r="BS15" i="3"/>
  <c r="BT15" i="3"/>
  <c r="BU15" i="3"/>
  <c r="BR16" i="3"/>
  <c r="BS16" i="3"/>
  <c r="BT16" i="3"/>
  <c r="BU16" i="3"/>
  <c r="BR17" i="3"/>
  <c r="BS17" i="3"/>
  <c r="BT17" i="3"/>
  <c r="BU17" i="3"/>
  <c r="BR18" i="3"/>
  <c r="BS18" i="3"/>
  <c r="BT18" i="3"/>
  <c r="BU18" i="3"/>
  <c r="BR19" i="3"/>
  <c r="BS19" i="3"/>
  <c r="BT19" i="3"/>
  <c r="BU19" i="3"/>
  <c r="BR20" i="3"/>
  <c r="BS20" i="3"/>
  <c r="BT20" i="3"/>
  <c r="BU20" i="3"/>
  <c r="BR21" i="3"/>
  <c r="BS21" i="3"/>
  <c r="BT21" i="3"/>
  <c r="BU21" i="3"/>
  <c r="BR22" i="3"/>
  <c r="BS22" i="3"/>
  <c r="BT22" i="3"/>
  <c r="BU22" i="3"/>
  <c r="BR23" i="3"/>
  <c r="BS23" i="3"/>
  <c r="BT23" i="3"/>
  <c r="BU23" i="3"/>
  <c r="BR24" i="3"/>
  <c r="BS24" i="3"/>
  <c r="BT24" i="3"/>
  <c r="BU24" i="3"/>
  <c r="BR25" i="3"/>
  <c r="BS25" i="3"/>
  <c r="BT25" i="3"/>
  <c r="BU25" i="3"/>
  <c r="BR26" i="3"/>
  <c r="BS26" i="3"/>
  <c r="BT26" i="3"/>
  <c r="BU26" i="3"/>
  <c r="BR27" i="3"/>
  <c r="BS27" i="3"/>
  <c r="BT27" i="3"/>
  <c r="BU27" i="3"/>
  <c r="BR29" i="3"/>
  <c r="BS29" i="3"/>
  <c r="BT29" i="3"/>
  <c r="BU29" i="3"/>
  <c r="BR30" i="3"/>
  <c r="BS30" i="3"/>
  <c r="BT30" i="3"/>
  <c r="BU30" i="3"/>
  <c r="BR31" i="3"/>
  <c r="BS31" i="3"/>
  <c r="BT31" i="3"/>
  <c r="BU31" i="3"/>
  <c r="BR32" i="3"/>
  <c r="BS32" i="3"/>
  <c r="BT32" i="3"/>
  <c r="BU32" i="3"/>
  <c r="BR33" i="3"/>
  <c r="BS33" i="3"/>
  <c r="BT33" i="3"/>
  <c r="BU33" i="3"/>
  <c r="BU8" i="3"/>
  <c r="BT8" i="3"/>
  <c r="BS8" i="3"/>
  <c r="BR8" i="3"/>
  <c r="AR18" i="79"/>
  <c r="AS18" i="79"/>
  <c r="AT18" i="79"/>
  <c r="AU18" i="79"/>
  <c r="AU34" i="79"/>
  <c r="AT34" i="79"/>
  <c r="AS34" i="79"/>
  <c r="AR34" i="79"/>
  <c r="AS43" i="79"/>
  <c r="AT43" i="79"/>
  <c r="AU43" i="79"/>
  <c r="AS42" i="79"/>
  <c r="AT42" i="79"/>
  <c r="AU42" i="79"/>
  <c r="AR42" i="79"/>
  <c r="AR43" i="79"/>
  <c r="AG10" i="79"/>
  <c r="AB10" i="79"/>
  <c r="R10" i="79"/>
  <c r="M10" i="79"/>
  <c r="H10" i="79"/>
  <c r="BI1" i="3"/>
  <c r="BA1" i="3"/>
  <c r="AS1" i="3"/>
  <c r="AK1" i="3"/>
  <c r="AC1" i="3"/>
  <c r="C30" i="3"/>
  <c r="C22" i="3"/>
  <c r="C39" i="3"/>
  <c r="C40" i="3"/>
  <c r="C41" i="3"/>
  <c r="C42" i="3"/>
  <c r="C23" i="3"/>
  <c r="C24" i="3"/>
  <c r="C34" i="3"/>
  <c r="C45" i="3"/>
  <c r="C49" i="3"/>
  <c r="C55" i="3"/>
  <c r="C68" i="3"/>
  <c r="C69" i="3"/>
  <c r="C67" i="3"/>
  <c r="C35" i="3"/>
  <c r="C37" i="3"/>
  <c r="C32" i="3"/>
  <c r="C16" i="3"/>
  <c r="C31" i="3"/>
  <c r="C64" i="3"/>
  <c r="C63" i="3"/>
  <c r="C66" i="3"/>
  <c r="C33" i="3"/>
  <c r="T4" i="3"/>
  <c r="BI4" i="3"/>
  <c r="BN7" i="3" s="1"/>
  <c r="BO6" i="3" s="1"/>
  <c r="BA4" i="3"/>
  <c r="BF7" i="3" s="1"/>
  <c r="BG6" i="3" s="1"/>
  <c r="AS4" i="3"/>
  <c r="AX7" i="3" s="1"/>
  <c r="AY6" i="3" s="1"/>
  <c r="AP7" i="3"/>
  <c r="AQ6" i="3" s="1"/>
  <c r="AC4" i="3"/>
  <c r="AH7" i="3" s="1"/>
  <c r="AI6" i="3" s="1"/>
  <c r="U4" i="3"/>
  <c r="Z7" i="3" s="1"/>
  <c r="AA6" i="3" s="1"/>
  <c r="AR12" i="79"/>
  <c r="AR13" i="79"/>
  <c r="AR22" i="79"/>
  <c r="AR24" i="79"/>
  <c r="AR27" i="79"/>
  <c r="AR33" i="79"/>
  <c r="AR36" i="79"/>
  <c r="AR31" i="79"/>
  <c r="AR40" i="79"/>
  <c r="AR44" i="79"/>
  <c r="AR41" i="79"/>
  <c r="AU44" i="79"/>
  <c r="AT44" i="79"/>
  <c r="AS44" i="79"/>
  <c r="AU41" i="79"/>
  <c r="AT41" i="79"/>
  <c r="AS41" i="79"/>
  <c r="AU40" i="79"/>
  <c r="AT40" i="79"/>
  <c r="AS40" i="79"/>
  <c r="AU31" i="79"/>
  <c r="AT31" i="79"/>
  <c r="AS31" i="79"/>
  <c r="AU36" i="79"/>
  <c r="AT36" i="79"/>
  <c r="AS36" i="79"/>
  <c r="AU33" i="79"/>
  <c r="AT33" i="79"/>
  <c r="AS33" i="79"/>
  <c r="AU27" i="79"/>
  <c r="AT27" i="79"/>
  <c r="AS27" i="79"/>
  <c r="AU24" i="79"/>
  <c r="AT24" i="79"/>
  <c r="AS24" i="79"/>
  <c r="AU22" i="79"/>
  <c r="AT22" i="79"/>
  <c r="AS22" i="79"/>
  <c r="AU13" i="79"/>
  <c r="AT13" i="79"/>
  <c r="AS13" i="79"/>
  <c r="AS12" i="79"/>
  <c r="AT12" i="79"/>
  <c r="AU12" i="79"/>
  <c r="BJ51" i="3" l="1"/>
  <c r="BB51" i="3"/>
  <c r="AT13" i="3"/>
  <c r="AL13" i="3"/>
  <c r="AD13" i="3"/>
  <c r="V13" i="3"/>
  <c r="BJ36" i="3"/>
  <c r="BB36" i="3"/>
  <c r="AT47" i="3"/>
  <c r="AL47" i="3"/>
  <c r="AD47" i="3"/>
  <c r="V47" i="3"/>
  <c r="BJ35" i="3"/>
  <c r="BB35" i="3"/>
  <c r="AT46" i="3"/>
  <c r="AL46" i="3"/>
  <c r="AD46" i="3"/>
  <c r="V46" i="3"/>
  <c r="BJ33" i="3"/>
  <c r="BB33" i="3"/>
  <c r="AT43" i="3"/>
  <c r="AL43" i="3"/>
  <c r="AD43" i="3"/>
  <c r="V43" i="3"/>
  <c r="BJ16" i="3"/>
  <c r="BB16" i="3"/>
  <c r="AT20" i="3"/>
  <c r="BI51" i="3"/>
  <c r="BA51" i="3"/>
  <c r="AS13" i="3"/>
  <c r="AK13" i="3"/>
  <c r="AC13" i="3"/>
  <c r="U13" i="3"/>
  <c r="BM50" i="3"/>
  <c r="BE50" i="3"/>
  <c r="AW12" i="3"/>
  <c r="AO12" i="3"/>
  <c r="AG12" i="3"/>
  <c r="Y12" i="3"/>
  <c r="BI36" i="3"/>
  <c r="BA36" i="3"/>
  <c r="AS47" i="3"/>
  <c r="AK47" i="3"/>
  <c r="AC47" i="3"/>
  <c r="U47" i="3"/>
  <c r="BM38" i="3"/>
  <c r="BE38" i="3"/>
  <c r="AW48" i="3"/>
  <c r="AO48" i="3"/>
  <c r="AG48" i="3"/>
  <c r="Y48" i="3"/>
  <c r="BI35" i="3"/>
  <c r="BA35" i="3"/>
  <c r="AS46" i="3"/>
  <c r="AK46" i="3"/>
  <c r="AC46" i="3"/>
  <c r="U46" i="3"/>
  <c r="BM37" i="3"/>
  <c r="BE37" i="3"/>
  <c r="AW50" i="3"/>
  <c r="AO50" i="3"/>
  <c r="AG50" i="3"/>
  <c r="Y50" i="3"/>
  <c r="BI33" i="3"/>
  <c r="BA33" i="3"/>
  <c r="AS43" i="3"/>
  <c r="AK43" i="3"/>
  <c r="AC43" i="3"/>
  <c r="U43" i="3"/>
  <c r="BM32" i="3"/>
  <c r="BE32" i="3"/>
  <c r="AW44" i="3"/>
  <c r="AO44" i="3"/>
  <c r="AG44" i="3"/>
  <c r="Y44" i="3"/>
  <c r="BI16" i="3"/>
  <c r="BA16" i="3"/>
  <c r="BL50" i="3"/>
  <c r="BD50" i="3"/>
  <c r="AV12" i="3"/>
  <c r="AN12" i="3"/>
  <c r="AF12" i="3"/>
  <c r="X12" i="3"/>
  <c r="BL38" i="3"/>
  <c r="BD38" i="3"/>
  <c r="AV48" i="3"/>
  <c r="AN48" i="3"/>
  <c r="AF48" i="3"/>
  <c r="X48" i="3"/>
  <c r="BL37" i="3"/>
  <c r="BD37" i="3"/>
  <c r="AV50" i="3"/>
  <c r="AN50" i="3"/>
  <c r="AF50" i="3"/>
  <c r="X50" i="3"/>
  <c r="BL32" i="3"/>
  <c r="BD32" i="3"/>
  <c r="AV44" i="3"/>
  <c r="AN44" i="3"/>
  <c r="AF44" i="3"/>
  <c r="X44" i="3"/>
  <c r="BL17" i="3"/>
  <c r="BD17" i="3"/>
  <c r="AV21" i="3"/>
  <c r="AN21" i="3"/>
  <c r="AF21" i="3"/>
  <c r="X21" i="3"/>
  <c r="BL18" i="3"/>
  <c r="BD18" i="3"/>
  <c r="AV27" i="3"/>
  <c r="AN27" i="3"/>
  <c r="AF27" i="3"/>
  <c r="X27" i="3"/>
  <c r="BC51" i="3"/>
  <c r="AO13" i="3"/>
  <c r="BA50" i="3"/>
  <c r="AM12" i="3"/>
  <c r="BM36" i="3"/>
  <c r="AN47" i="3"/>
  <c r="BK38" i="3"/>
  <c r="AL48" i="3"/>
  <c r="BL35" i="3"/>
  <c r="AM46" i="3"/>
  <c r="Y46" i="3"/>
  <c r="BJ37" i="3"/>
  <c r="AK50" i="3"/>
  <c r="W50" i="3"/>
  <c r="BK33" i="3"/>
  <c r="AW43" i="3"/>
  <c r="X43" i="3"/>
  <c r="BI32" i="3"/>
  <c r="AU44" i="3"/>
  <c r="V44" i="3"/>
  <c r="AV20" i="3"/>
  <c r="AL20" i="3"/>
  <c r="AC20" i="3"/>
  <c r="BK17" i="3"/>
  <c r="BB17" i="3"/>
  <c r="AS21" i="3"/>
  <c r="AO28" i="3"/>
  <c r="AF28" i="3"/>
  <c r="W28" i="3"/>
  <c r="AW27" i="3"/>
  <c r="AM27" i="3"/>
  <c r="AD27" i="3"/>
  <c r="U27" i="3"/>
  <c r="BK14" i="3"/>
  <c r="BB14" i="3"/>
  <c r="AS25" i="3"/>
  <c r="BI13" i="3"/>
  <c r="BA13" i="3"/>
  <c r="AS19" i="3"/>
  <c r="AK19" i="3"/>
  <c r="AC19" i="3"/>
  <c r="U19" i="3"/>
  <c r="AM28" i="3"/>
  <c r="BM18" i="3"/>
  <c r="AT27" i="3"/>
  <c r="X25" i="3"/>
  <c r="BM51" i="3"/>
  <c r="AN13" i="3"/>
  <c r="BK50" i="3"/>
  <c r="AL12" i="3"/>
  <c r="BL36" i="3"/>
  <c r="AM47" i="3"/>
  <c r="Y47" i="3"/>
  <c r="BJ38" i="3"/>
  <c r="AK48" i="3"/>
  <c r="W48" i="3"/>
  <c r="BK35" i="3"/>
  <c r="AW46" i="3"/>
  <c r="X46" i="3"/>
  <c r="BI37" i="3"/>
  <c r="AU50" i="3"/>
  <c r="V50" i="3"/>
  <c r="AV43" i="3"/>
  <c r="W43" i="3"/>
  <c r="AT44" i="3"/>
  <c r="U44" i="3"/>
  <c r="AU20" i="3"/>
  <c r="AK20" i="3"/>
  <c r="BJ17" i="3"/>
  <c r="BA17" i="3"/>
  <c r="AW28" i="3"/>
  <c r="AN28" i="3"/>
  <c r="AE28" i="3"/>
  <c r="V28" i="3"/>
  <c r="BE18" i="3"/>
  <c r="AU27" i="3"/>
  <c r="AL27" i="3"/>
  <c r="AC27" i="3"/>
  <c r="BJ14" i="3"/>
  <c r="BA14" i="3"/>
  <c r="Y25" i="3"/>
  <c r="BE19" i="3"/>
  <c r="U28" i="3"/>
  <c r="BC18" i="3"/>
  <c r="AK27" i="3"/>
  <c r="BI14" i="3"/>
  <c r="AG25" i="3"/>
  <c r="BL51" i="3"/>
  <c r="AM13" i="3"/>
  <c r="Y13" i="3"/>
  <c r="BJ50" i="3"/>
  <c r="AK12" i="3"/>
  <c r="W12" i="3"/>
  <c r="BK36" i="3"/>
  <c r="AW47" i="3"/>
  <c r="X47" i="3"/>
  <c r="BI38" i="3"/>
  <c r="AU48" i="3"/>
  <c r="V48" i="3"/>
  <c r="AV46" i="3"/>
  <c r="W46" i="3"/>
  <c r="AT50" i="3"/>
  <c r="U50" i="3"/>
  <c r="AU43" i="3"/>
  <c r="AG43" i="3"/>
  <c r="AS44" i="3"/>
  <c r="AE44" i="3"/>
  <c r="BE16" i="3"/>
  <c r="AS20" i="3"/>
  <c r="BI17" i="3"/>
  <c r="Y21" i="3"/>
  <c r="AV28" i="3"/>
  <c r="AD28" i="3"/>
  <c r="BK51" i="3"/>
  <c r="AW13" i="3"/>
  <c r="X13" i="3"/>
  <c r="BI50" i="3"/>
  <c r="AU12" i="3"/>
  <c r="V12" i="3"/>
  <c r="AV47" i="3"/>
  <c r="W47" i="3"/>
  <c r="AT48" i="3"/>
  <c r="U48" i="3"/>
  <c r="AU46" i="3"/>
  <c r="AG46" i="3"/>
  <c r="AS50" i="3"/>
  <c r="AE50" i="3"/>
  <c r="BE33" i="3"/>
  <c r="AF43" i="3"/>
  <c r="BC32" i="3"/>
  <c r="AD44" i="3"/>
  <c r="BD16" i="3"/>
  <c r="Y20" i="3"/>
  <c r="AG21" i="3"/>
  <c r="W21" i="3"/>
  <c r="BM19" i="3"/>
  <c r="BD19" i="3"/>
  <c r="AU28" i="3"/>
  <c r="AL28" i="3"/>
  <c r="AC28" i="3"/>
  <c r="BK18" i="3"/>
  <c r="BB18" i="3"/>
  <c r="AS27" i="3"/>
  <c r="AO25" i="3"/>
  <c r="AF25" i="3"/>
  <c r="W25" i="3"/>
  <c r="AV13" i="3"/>
  <c r="W13" i="3"/>
  <c r="AT12" i="3"/>
  <c r="U12" i="3"/>
  <c r="AU47" i="3"/>
  <c r="AG47" i="3"/>
  <c r="AS48" i="3"/>
  <c r="AE48" i="3"/>
  <c r="BE35" i="3"/>
  <c r="AF46" i="3"/>
  <c r="BC37" i="3"/>
  <c r="AD50" i="3"/>
  <c r="BD33" i="3"/>
  <c r="AE43" i="3"/>
  <c r="BB32" i="3"/>
  <c r="AC44" i="3"/>
  <c r="BC16" i="3"/>
  <c r="AG20" i="3"/>
  <c r="X20" i="3"/>
  <c r="AO21" i="3"/>
  <c r="AE21" i="3"/>
  <c r="V21" i="3"/>
  <c r="BL19" i="3"/>
  <c r="BC19" i="3"/>
  <c r="AT28" i="3"/>
  <c r="AK28" i="3"/>
  <c r="AU13" i="3"/>
  <c r="AG13" i="3"/>
  <c r="AS12" i="3"/>
  <c r="AE12" i="3"/>
  <c r="BE36" i="3"/>
  <c r="AF47" i="3"/>
  <c r="BC38" i="3"/>
  <c r="AD48" i="3"/>
  <c r="BD35" i="3"/>
  <c r="AE46" i="3"/>
  <c r="BB37" i="3"/>
  <c r="AC50" i="3"/>
  <c r="BC33" i="3"/>
  <c r="AO43" i="3"/>
  <c r="BA32" i="3"/>
  <c r="AM44" i="3"/>
  <c r="BM16" i="3"/>
  <c r="AO20" i="3"/>
  <c r="AF20" i="3"/>
  <c r="W20" i="3"/>
  <c r="AW21" i="3"/>
  <c r="AM21" i="3"/>
  <c r="AD21" i="3"/>
  <c r="U21" i="3"/>
  <c r="BK19" i="3"/>
  <c r="BB19" i="3"/>
  <c r="AS28" i="3"/>
  <c r="BI18" i="3"/>
  <c r="Y27" i="3"/>
  <c r="BE14" i="3"/>
  <c r="AV25" i="3"/>
  <c r="AM25" i="3"/>
  <c r="AD25" i="3"/>
  <c r="U25" i="3"/>
  <c r="BL13" i="3"/>
  <c r="BD13" i="3"/>
  <c r="AV19" i="3"/>
  <c r="AN19" i="3"/>
  <c r="AF19" i="3"/>
  <c r="X19" i="3"/>
  <c r="AC12" i="3"/>
  <c r="BC35" i="3"/>
  <c r="AN43" i="3"/>
  <c r="AK44" i="3"/>
  <c r="AD20" i="3"/>
  <c r="AL21" i="3"/>
  <c r="BD14" i="3"/>
  <c r="AE25" i="3"/>
  <c r="BB13" i="3"/>
  <c r="AE19" i="3"/>
  <c r="AT19" i="3"/>
  <c r="AF13" i="3"/>
  <c r="BB38" i="3"/>
  <c r="AM50" i="3"/>
  <c r="AM43" i="3"/>
  <c r="BL16" i="3"/>
  <c r="V20" i="3"/>
  <c r="AK21" i="3"/>
  <c r="AG28" i="3"/>
  <c r="W27" i="3"/>
  <c r="BC14" i="3"/>
  <c r="AC25" i="3"/>
  <c r="AW19" i="3"/>
  <c r="AD19" i="3"/>
  <c r="W44" i="3"/>
  <c r="BJ19" i="3"/>
  <c r="Y19" i="3"/>
  <c r="BC50" i="3"/>
  <c r="BC36" i="3"/>
  <c r="AN46" i="3"/>
  <c r="Y43" i="3"/>
  <c r="BK32" i="3"/>
  <c r="BM17" i="3"/>
  <c r="BI19" i="3"/>
  <c r="X28" i="3"/>
  <c r="AU25" i="3"/>
  <c r="BM13" i="3"/>
  <c r="W19" i="3"/>
  <c r="AE13" i="3"/>
  <c r="BD36" i="3"/>
  <c r="BA38" i="3"/>
  <c r="AO46" i="3"/>
  <c r="AL50" i="3"/>
  <c r="BK16" i="3"/>
  <c r="U20" i="3"/>
  <c r="AC21" i="3"/>
  <c r="Y28" i="3"/>
  <c r="V27" i="3"/>
  <c r="AW25" i="3"/>
  <c r="AU19" i="3"/>
  <c r="V25" i="3"/>
  <c r="BB50" i="3"/>
  <c r="AM48" i="3"/>
  <c r="BM33" i="3"/>
  <c r="BJ32" i="3"/>
  <c r="AW20" i="3"/>
  <c r="BE17" i="3"/>
  <c r="BA19" i="3"/>
  <c r="BJ18" i="3"/>
  <c r="AO27" i="3"/>
  <c r="AT25" i="3"/>
  <c r="BK13" i="3"/>
  <c r="AO19" i="3"/>
  <c r="V19" i="3"/>
  <c r="AL44" i="3"/>
  <c r="AE20" i="3"/>
  <c r="AT21" i="3"/>
  <c r="BA18" i="3"/>
  <c r="AE27" i="3"/>
  <c r="AK25" i="3"/>
  <c r="BC13" i="3"/>
  <c r="AG19" i="3"/>
  <c r="BE51" i="3"/>
  <c r="AO47" i="3"/>
  <c r="AC48" i="3"/>
  <c r="BL33" i="3"/>
  <c r="AN20" i="3"/>
  <c r="BC17" i="3"/>
  <c r="BM14" i="3"/>
  <c r="AN25" i="3"/>
  <c r="BJ13" i="3"/>
  <c r="AM19" i="3"/>
  <c r="AG27" i="3"/>
  <c r="BL14" i="3"/>
  <c r="AL25" i="3"/>
  <c r="BE13" i="3"/>
  <c r="AL19" i="3"/>
  <c r="BD51" i="3"/>
  <c r="AE47" i="3"/>
  <c r="BK37" i="3"/>
  <c r="AM20" i="3"/>
  <c r="AU21" i="3"/>
  <c r="AD12" i="3"/>
  <c r="BM35" i="3"/>
  <c r="BA37" i="3"/>
  <c r="BI60" i="3"/>
  <c r="BA60" i="3"/>
  <c r="AS36" i="3"/>
  <c r="AK36" i="3"/>
  <c r="AC36" i="3"/>
  <c r="U36" i="3"/>
  <c r="BJ60" i="3"/>
  <c r="BB60" i="3"/>
  <c r="AT36" i="3"/>
  <c r="AL36" i="3"/>
  <c r="AD36" i="3"/>
  <c r="V36" i="3"/>
  <c r="BM60" i="3"/>
  <c r="BE60" i="3"/>
  <c r="AW36" i="3"/>
  <c r="AO36" i="3"/>
  <c r="AG36" i="3"/>
  <c r="Y36" i="3"/>
  <c r="BC60" i="3"/>
  <c r="AM36" i="3"/>
  <c r="W36" i="3"/>
  <c r="BL60" i="3"/>
  <c r="BD60" i="3"/>
  <c r="AV36" i="3"/>
  <c r="AN36" i="3"/>
  <c r="AF36" i="3"/>
  <c r="X36" i="3"/>
  <c r="BK60" i="3"/>
  <c r="AU36" i="3"/>
  <c r="AE36" i="3"/>
  <c r="AN72" i="3"/>
  <c r="AL59" i="3"/>
  <c r="AO61" i="3"/>
  <c r="AM58" i="3"/>
  <c r="AO51" i="3"/>
  <c r="AM57" i="3"/>
  <c r="AO62" i="3"/>
  <c r="AK52" i="3"/>
  <c r="AN57" i="3"/>
  <c r="AK53" i="3"/>
  <c r="AN56" i="3"/>
  <c r="AK70" i="3"/>
  <c r="AM70" i="3"/>
  <c r="AK11" i="3"/>
  <c r="AM17" i="3"/>
  <c r="AK10" i="3"/>
  <c r="AM71" i="3"/>
  <c r="AK9" i="3"/>
  <c r="AM65" i="3"/>
  <c r="AK8" i="3"/>
  <c r="AM15" i="3"/>
  <c r="AN53" i="3"/>
  <c r="AO17" i="3"/>
  <c r="AM10" i="3"/>
  <c r="AO64" i="3"/>
  <c r="AN31" i="3"/>
  <c r="AK24" i="3"/>
  <c r="AN10" i="3"/>
  <c r="AN42" i="3"/>
  <c r="AL35" i="3"/>
  <c r="AO53" i="3"/>
  <c r="AM24" i="3"/>
  <c r="AK32" i="3"/>
  <c r="AM30" i="3"/>
  <c r="AK49" i="3"/>
  <c r="AL26" i="3"/>
  <c r="AK40" i="3"/>
  <c r="AO35" i="3"/>
  <c r="AD18" i="3"/>
  <c r="AD66" i="3"/>
  <c r="AL40" i="3"/>
  <c r="AD37" i="3"/>
  <c r="AM40" i="3"/>
  <c r="AK69" i="3"/>
  <c r="AN40" i="3"/>
  <c r="AL69" i="3"/>
  <c r="AM54" i="3"/>
  <c r="AN17" i="3"/>
  <c r="AL10" i="3"/>
  <c r="AN71" i="3"/>
  <c r="AL9" i="3"/>
  <c r="AK73" i="3"/>
  <c r="AN65" i="3"/>
  <c r="AL8" i="3"/>
  <c r="AK72" i="3"/>
  <c r="AN15" i="3"/>
  <c r="AK61" i="3"/>
  <c r="AN18" i="3"/>
  <c r="AK51" i="3"/>
  <c r="AO70" i="3"/>
  <c r="AK18" i="3"/>
  <c r="AN9" i="3"/>
  <c r="AL66" i="3"/>
  <c r="AO16" i="3"/>
  <c r="AD55" i="3"/>
  <c r="AM60" i="3"/>
  <c r="AM23" i="3"/>
  <c r="AK37" i="3"/>
  <c r="AL34" i="3"/>
  <c r="AL16" i="3"/>
  <c r="AL22" i="3"/>
  <c r="AD67" i="3"/>
  <c r="AO59" i="3"/>
  <c r="AD24" i="3"/>
  <c r="AN37" i="3"/>
  <c r="AD61" i="3"/>
  <c r="AD14" i="3"/>
  <c r="AD63" i="3"/>
  <c r="AO71" i="3"/>
  <c r="AM9" i="3"/>
  <c r="AL73" i="3"/>
  <c r="AO65" i="3"/>
  <c r="AM8" i="3"/>
  <c r="AL72" i="3"/>
  <c r="AO15" i="3"/>
  <c r="AL61" i="3"/>
  <c r="AO18" i="3"/>
  <c r="AL51" i="3"/>
  <c r="AO60" i="3"/>
  <c r="AL62" i="3"/>
  <c r="AN73" i="3"/>
  <c r="AL60" i="3"/>
  <c r="AO8" i="3"/>
  <c r="AM63" i="3"/>
  <c r="AK38" i="3"/>
  <c r="AO55" i="3"/>
  <c r="AD53" i="3"/>
  <c r="AL24" i="3"/>
  <c r="AK16" i="3"/>
  <c r="AM38" i="3"/>
  <c r="AK45" i="3"/>
  <c r="AL31" i="3"/>
  <c r="AK39" i="3"/>
  <c r="AO67" i="3"/>
  <c r="AK65" i="3"/>
  <c r="AO24" i="3"/>
  <c r="AM32" i="3"/>
  <c r="AD71" i="3"/>
  <c r="AD62" i="3"/>
  <c r="AD73" i="3"/>
  <c r="AD64" i="3"/>
  <c r="AD34" i="3"/>
  <c r="AN32" i="3"/>
  <c r="AK42" i="3"/>
  <c r="AO32" i="3"/>
  <c r="AL42" i="3"/>
  <c r="AD16" i="3"/>
  <c r="AD70" i="3"/>
  <c r="AM73" i="3"/>
  <c r="AK60" i="3"/>
  <c r="AN8" i="3"/>
  <c r="AM72" i="3"/>
  <c r="AK59" i="3"/>
  <c r="AM61" i="3"/>
  <c r="AK58" i="3"/>
  <c r="AM51" i="3"/>
  <c r="AK57" i="3"/>
  <c r="AM62" i="3"/>
  <c r="AK56" i="3"/>
  <c r="AO72" i="3"/>
  <c r="AM59" i="3"/>
  <c r="AN64" i="3"/>
  <c r="AD40" i="3"/>
  <c r="AN68" i="3"/>
  <c r="AL33" i="3"/>
  <c r="AK34" i="3"/>
  <c r="AK31" i="3"/>
  <c r="AL30" i="3"/>
  <c r="AD69" i="3"/>
  <c r="AO9" i="3"/>
  <c r="AD23" i="3"/>
  <c r="AN35" i="3"/>
  <c r="AD38" i="3"/>
  <c r="AN34" i="3"/>
  <c r="AN16" i="3"/>
  <c r="AD56" i="3"/>
  <c r="AD15" i="3"/>
  <c r="AO10" i="3"/>
  <c r="AL17" i="3"/>
  <c r="AO14" i="3"/>
  <c r="AL65" i="3"/>
  <c r="AM52" i="3"/>
  <c r="AN70" i="3"/>
  <c r="AM66" i="3"/>
  <c r="AM42" i="3"/>
  <c r="AD41" i="3"/>
  <c r="AD59" i="3"/>
  <c r="AN67" i="3"/>
  <c r="AN24" i="3"/>
  <c r="AN30" i="3"/>
  <c r="AO58" i="3"/>
  <c r="AD17" i="3"/>
  <c r="AK41" i="3"/>
  <c r="AL15" i="3"/>
  <c r="AM55" i="3"/>
  <c r="AM41" i="3"/>
  <c r="AK63" i="3"/>
  <c r="AL37" i="3"/>
  <c r="AN45" i="3"/>
  <c r="AN29" i="3"/>
  <c r="AO68" i="3"/>
  <c r="AM45" i="3"/>
  <c r="AM49" i="3"/>
  <c r="AO23" i="3"/>
  <c r="AN61" i="3"/>
  <c r="AL57" i="3"/>
  <c r="AN62" i="3"/>
  <c r="AL29" i="3"/>
  <c r="AN58" i="3"/>
  <c r="AN63" i="3"/>
  <c r="AL23" i="3"/>
  <c r="AO41" i="3"/>
  <c r="AN60" i="3"/>
  <c r="AM35" i="3"/>
  <c r="AM34" i="3"/>
  <c r="AM22" i="3"/>
  <c r="AK15" i="3"/>
  <c r="AD57" i="3"/>
  <c r="AO34" i="3"/>
  <c r="AD22" i="3"/>
  <c r="AL68" i="3"/>
  <c r="AK23" i="3"/>
  <c r="AD10" i="3"/>
  <c r="AL70" i="3"/>
  <c r="AM56" i="3"/>
  <c r="AO54" i="3"/>
  <c r="AM26" i="3"/>
  <c r="AO57" i="3"/>
  <c r="AO31" i="3"/>
  <c r="AM69" i="3"/>
  <c r="AD68" i="3"/>
  <c r="AD33" i="3"/>
  <c r="AL45" i="3"/>
  <c r="AL39" i="3"/>
  <c r="AN52" i="3"/>
  <c r="AD54" i="3"/>
  <c r="AD8" i="3"/>
  <c r="AO22" i="3"/>
  <c r="AD32" i="3"/>
  <c r="AD49" i="3"/>
  <c r="AN11" i="3"/>
  <c r="AL58" i="3"/>
  <c r="AK17" i="3"/>
  <c r="AN14" i="3"/>
  <c r="AK14" i="3"/>
  <c r="AK66" i="3"/>
  <c r="AL67" i="3"/>
  <c r="AK22" i="3"/>
  <c r="AK26" i="3"/>
  <c r="AM37" i="3"/>
  <c r="AD52" i="3"/>
  <c r="AD31" i="3"/>
  <c r="AN39" i="3"/>
  <c r="AK64" i="3"/>
  <c r="AO49" i="3"/>
  <c r="AO69" i="3"/>
  <c r="AL14" i="3"/>
  <c r="AM39" i="3"/>
  <c r="AM14" i="3"/>
  <c r="AO39" i="3"/>
  <c r="AM18" i="3"/>
  <c r="AO29" i="3"/>
  <c r="AO26" i="3"/>
  <c r="AL71" i="3"/>
  <c r="AO11" i="3"/>
  <c r="AL11" i="3"/>
  <c r="AL63" i="3"/>
  <c r="AK35" i="3"/>
  <c r="AN69" i="3"/>
  <c r="AD42" i="3"/>
  <c r="AD58" i="3"/>
  <c r="AL32" i="3"/>
  <c r="AL49" i="3"/>
  <c r="AD51" i="3"/>
  <c r="AD60" i="3"/>
  <c r="AD30" i="3"/>
  <c r="AL55" i="3"/>
  <c r="AL41" i="3"/>
  <c r="AM11" i="3"/>
  <c r="AN55" i="3"/>
  <c r="AO66" i="3"/>
  <c r="AD9" i="3"/>
  <c r="AM67" i="3"/>
  <c r="AN59" i="3"/>
  <c r="AM16" i="3"/>
  <c r="AK55" i="3"/>
  <c r="AD65" i="3"/>
  <c r="AO30" i="3"/>
  <c r="AK68" i="3"/>
  <c r="AD45" i="3"/>
  <c r="AL18" i="3"/>
  <c r="AL53" i="3"/>
  <c r="AO52" i="3"/>
  <c r="AK62" i="3"/>
  <c r="AL52" i="3"/>
  <c r="AN66" i="3"/>
  <c r="AO40" i="3"/>
  <c r="AL38" i="3"/>
  <c r="AN38" i="3"/>
  <c r="AM31" i="3"/>
  <c r="AD35" i="3"/>
  <c r="AD29" i="3"/>
  <c r="AO37" i="3"/>
  <c r="AO45" i="3"/>
  <c r="AD39" i="3"/>
  <c r="AK67" i="3"/>
  <c r="AO56" i="3"/>
  <c r="AN26" i="3"/>
  <c r="AK71" i="3"/>
  <c r="AM53" i="3"/>
  <c r="AO63" i="3"/>
  <c r="AK30" i="3"/>
  <c r="AK29" i="3"/>
  <c r="AO38" i="3"/>
  <c r="AD72" i="3"/>
  <c r="AN49" i="3"/>
  <c r="AL64" i="3"/>
  <c r="AL56" i="3"/>
  <c r="AN54" i="3"/>
  <c r="AO73" i="3"/>
  <c r="AK54" i="3"/>
  <c r="AM64" i="3"/>
  <c r="AO42" i="3"/>
  <c r="AD11" i="3"/>
  <c r="AM68" i="3"/>
  <c r="AM29" i="3"/>
  <c r="AN23" i="3"/>
  <c r="AN22" i="3"/>
  <c r="AN51" i="3"/>
  <c r="AL54" i="3"/>
  <c r="AN41" i="3"/>
  <c r="AD26" i="3"/>
  <c r="V8" i="3"/>
  <c r="V57" i="3"/>
  <c r="V52" i="3"/>
  <c r="V26" i="3"/>
  <c r="BJ62" i="3"/>
  <c r="BM42" i="3"/>
  <c r="BI62" i="3"/>
  <c r="BL42" i="3"/>
  <c r="BI61" i="3"/>
  <c r="BL41" i="3"/>
  <c r="BI49" i="3"/>
  <c r="BL20" i="3"/>
  <c r="BI52" i="3"/>
  <c r="BL15" i="3"/>
  <c r="BI64" i="3"/>
  <c r="BJ63" i="3"/>
  <c r="BM43" i="3"/>
  <c r="BM62" i="3"/>
  <c r="BI20" i="3"/>
  <c r="BL12" i="3"/>
  <c r="BC71" i="3"/>
  <c r="BA9" i="3"/>
  <c r="BC70" i="3"/>
  <c r="BA8" i="3"/>
  <c r="BC54" i="3"/>
  <c r="BC53" i="3"/>
  <c r="BB53" i="3"/>
  <c r="BE9" i="3"/>
  <c r="BC49" i="3"/>
  <c r="BC72" i="3"/>
  <c r="BA44" i="3"/>
  <c r="BD49" i="3"/>
  <c r="BD9" i="3"/>
  <c r="BD52" i="3"/>
  <c r="BA11" i="3"/>
  <c r="AT15" i="3"/>
  <c r="AW10" i="3"/>
  <c r="AS15" i="3"/>
  <c r="AV10" i="3"/>
  <c r="AW17" i="3"/>
  <c r="AU10" i="3"/>
  <c r="AV17" i="3"/>
  <c r="AT10" i="3"/>
  <c r="AV71" i="3"/>
  <c r="AT9" i="3"/>
  <c r="AS73" i="3"/>
  <c r="V17" i="3"/>
  <c r="V10" i="3"/>
  <c r="V15" i="3"/>
  <c r="V56" i="3"/>
  <c r="BK61" i="3"/>
  <c r="BI12" i="3"/>
  <c r="BJ61" i="3"/>
  <c r="BM41" i="3"/>
  <c r="BJ49" i="3"/>
  <c r="BM20" i="3"/>
  <c r="BJ52" i="3"/>
  <c r="BM15" i="3"/>
  <c r="BJ71" i="3"/>
  <c r="BM12" i="3"/>
  <c r="BJ66" i="3"/>
  <c r="BK62" i="3"/>
  <c r="BI15" i="3"/>
  <c r="BI70" i="3"/>
  <c r="BM10" i="3"/>
  <c r="BJ54" i="3"/>
  <c r="BA73" i="3"/>
  <c r="BD70" i="3"/>
  <c r="BB8" i="3"/>
  <c r="BA72" i="3"/>
  <c r="BD54" i="3"/>
  <c r="BA65" i="3"/>
  <c r="BD53" i="3"/>
  <c r="BA64" i="3"/>
  <c r="BD45" i="3"/>
  <c r="BE73" i="3"/>
  <c r="BC45" i="3"/>
  <c r="BD73" i="3"/>
  <c r="BD65" i="3"/>
  <c r="BB43" i="3"/>
  <c r="BD43" i="3"/>
  <c r="BE71" i="3"/>
  <c r="BA45" i="3"/>
  <c r="AU18" i="3"/>
  <c r="AT18" i="3"/>
  <c r="AW9" i="3"/>
  <c r="AS18" i="3"/>
  <c r="AV9" i="3"/>
  <c r="AW71" i="3"/>
  <c r="AU9" i="3"/>
  <c r="AT73" i="3"/>
  <c r="AW65" i="3"/>
  <c r="AU8" i="3"/>
  <c r="AT72" i="3"/>
  <c r="AS61" i="3"/>
  <c r="AV18" i="3"/>
  <c r="AT57" i="3"/>
  <c r="AT8" i="3"/>
  <c r="AU29" i="3"/>
  <c r="AS54" i="3"/>
  <c r="AS72" i="3"/>
  <c r="AS8" i="3"/>
  <c r="V72" i="3"/>
  <c r="V59" i="3"/>
  <c r="V62" i="3"/>
  <c r="V71" i="3"/>
  <c r="BL49" i="3"/>
  <c r="BJ11" i="3"/>
  <c r="BK49" i="3"/>
  <c r="BI11" i="3"/>
  <c r="BK52" i="3"/>
  <c r="BI10" i="3"/>
  <c r="BK71" i="3"/>
  <c r="BI9" i="3"/>
  <c r="BK70" i="3"/>
  <c r="BI8" i="3"/>
  <c r="BK63" i="3"/>
  <c r="BL61" i="3"/>
  <c r="BJ12" i="3"/>
  <c r="BM44" i="3"/>
  <c r="BL53" i="3"/>
  <c r="BK12" i="3"/>
  <c r="BB72" i="3"/>
  <c r="BE54" i="3"/>
  <c r="BB65" i="3"/>
  <c r="BE53" i="3"/>
  <c r="BB64" i="3"/>
  <c r="BE45" i="3"/>
  <c r="BB66" i="3"/>
  <c r="BE44" i="3"/>
  <c r="BA66" i="3"/>
  <c r="BD44" i="3"/>
  <c r="BE72" i="3"/>
  <c r="BE64" i="3"/>
  <c r="BC42" i="3"/>
  <c r="BA12" i="3"/>
  <c r="BB44" i="3"/>
  <c r="BE41" i="3"/>
  <c r="AS51" i="3"/>
  <c r="AV60" i="3"/>
  <c r="AW73" i="3"/>
  <c r="AU60" i="3"/>
  <c r="AV73" i="3"/>
  <c r="AT60" i="3"/>
  <c r="AT90" i="3" s="1"/>
  <c r="AW8" i="3"/>
  <c r="AU73" i="3"/>
  <c r="AS60" i="3"/>
  <c r="AV8" i="3"/>
  <c r="AU72" i="3"/>
  <c r="AS59" i="3"/>
  <c r="AU61" i="3"/>
  <c r="AT51" i="3"/>
  <c r="AW60" i="3"/>
  <c r="AS70" i="3"/>
  <c r="AU65" i="3"/>
  <c r="AT17" i="3"/>
  <c r="AW58" i="3"/>
  <c r="AW51" i="3"/>
  <c r="AW62" i="3"/>
  <c r="AT29" i="3"/>
  <c r="AS17" i="3"/>
  <c r="V53" i="3"/>
  <c r="V14" i="3"/>
  <c r="V61" i="3"/>
  <c r="BM52" i="3"/>
  <c r="BK10" i="3"/>
  <c r="BL52" i="3"/>
  <c r="BJ10" i="3"/>
  <c r="BL71" i="3"/>
  <c r="BJ9" i="3"/>
  <c r="BI73" i="3"/>
  <c r="BL70" i="3"/>
  <c r="BJ8" i="3"/>
  <c r="BI72" i="3"/>
  <c r="BL54" i="3"/>
  <c r="BI65" i="3"/>
  <c r="BL62" i="3"/>
  <c r="BM49" i="3"/>
  <c r="BK11" i="3"/>
  <c r="BJ15" i="3"/>
  <c r="BI41" i="3"/>
  <c r="BC65" i="3"/>
  <c r="BA43" i="3"/>
  <c r="BC64" i="3"/>
  <c r="BA42" i="3"/>
  <c r="BC66" i="3"/>
  <c r="BA41" i="3"/>
  <c r="BC63" i="3"/>
  <c r="BA20" i="3"/>
  <c r="BB63" i="3"/>
  <c r="BE43" i="3"/>
  <c r="BA63" i="3"/>
  <c r="BC73" i="3"/>
  <c r="BA61" i="3"/>
  <c r="BD41" i="3"/>
  <c r="BE8" i="3"/>
  <c r="BC9" i="3"/>
  <c r="BB10" i="3"/>
  <c r="AT62" i="3"/>
  <c r="AW59" i="3"/>
  <c r="AS62" i="3"/>
  <c r="AV59" i="3"/>
  <c r="AW72" i="3"/>
  <c r="AU59" i="3"/>
  <c r="AV72" i="3"/>
  <c r="AT59" i="3"/>
  <c r="AV61" i="3"/>
  <c r="AT58" i="3"/>
  <c r="AV51" i="3"/>
  <c r="AU62" i="3"/>
  <c r="AS56" i="3"/>
  <c r="AV15" i="3"/>
  <c r="AV26" i="3"/>
  <c r="AU56" i="3"/>
  <c r="AV58" i="3"/>
  <c r="AS57" i="3"/>
  <c r="V9" i="3"/>
  <c r="V18" i="3"/>
  <c r="BI53" i="3"/>
  <c r="BL9" i="3"/>
  <c r="BM71" i="3"/>
  <c r="BK9" i="3"/>
  <c r="BJ73" i="3"/>
  <c r="BM70" i="3"/>
  <c r="BK8" i="3"/>
  <c r="BJ72" i="3"/>
  <c r="BM54" i="3"/>
  <c r="BJ65" i="3"/>
  <c r="BM53" i="3"/>
  <c r="BJ64" i="3"/>
  <c r="BM61" i="3"/>
  <c r="BI54" i="3"/>
  <c r="BL10" i="3"/>
  <c r="BI71" i="3"/>
  <c r="BM11" i="3"/>
  <c r="BD64" i="3"/>
  <c r="BB42" i="3"/>
  <c r="BD66" i="3"/>
  <c r="BB41" i="3"/>
  <c r="BD63" i="3"/>
  <c r="BB20" i="3"/>
  <c r="BD62" i="3"/>
  <c r="BB15" i="3"/>
  <c r="BC62" i="3"/>
  <c r="BA15" i="3"/>
  <c r="BD72" i="3"/>
  <c r="BB49" i="3"/>
  <c r="BE20" i="3"/>
  <c r="BC43" i="3"/>
  <c r="BE52" i="3"/>
  <c r="BA53" i="3"/>
  <c r="AU54" i="3"/>
  <c r="AS29" i="3"/>
  <c r="AT54" i="3"/>
  <c r="AW61" i="3"/>
  <c r="AU58" i="3"/>
  <c r="AU57" i="3"/>
  <c r="AV54" i="3"/>
  <c r="V58" i="3"/>
  <c r="V54" i="3"/>
  <c r="V29" i="3"/>
  <c r="BL73" i="3"/>
  <c r="BJ45" i="3"/>
  <c r="BM8" i="3"/>
  <c r="BK73" i="3"/>
  <c r="BI45" i="3"/>
  <c r="BL8" i="3"/>
  <c r="BK72" i="3"/>
  <c r="BI44" i="3"/>
  <c r="BK65" i="3"/>
  <c r="BI43" i="3"/>
  <c r="BK64" i="3"/>
  <c r="BI42" i="3"/>
  <c r="BK66" i="3"/>
  <c r="BJ53" i="3"/>
  <c r="BM9" i="3"/>
  <c r="BM45" i="3"/>
  <c r="BK53" i="3"/>
  <c r="BE66" i="3"/>
  <c r="BC41" i="3"/>
  <c r="BE63" i="3"/>
  <c r="BC20" i="3"/>
  <c r="BE62" i="3"/>
  <c r="BC15" i="3"/>
  <c r="BE61" i="3"/>
  <c r="BC12" i="3"/>
  <c r="BD61" i="3"/>
  <c r="BB12" i="3"/>
  <c r="BE65" i="3"/>
  <c r="BC52" i="3"/>
  <c r="BA10" i="3"/>
  <c r="BD8" i="3"/>
  <c r="BB45" i="3"/>
  <c r="BE42" i="3"/>
  <c r="AV52" i="3"/>
  <c r="AT26" i="3"/>
  <c r="AU52" i="3"/>
  <c r="AS26" i="3"/>
  <c r="AT52" i="3"/>
  <c r="AW57" i="3"/>
  <c r="AS52" i="3"/>
  <c r="AV57" i="3"/>
  <c r="AS53" i="3"/>
  <c r="AV56" i="3"/>
  <c r="AT61" i="3"/>
  <c r="AW52" i="3"/>
  <c r="AU26" i="3"/>
  <c r="AW14" i="3"/>
  <c r="AU71" i="3"/>
  <c r="AW18" i="3"/>
  <c r="V70" i="3"/>
  <c r="V11" i="3"/>
  <c r="V65" i="3"/>
  <c r="BM72" i="3"/>
  <c r="BK44" i="3"/>
  <c r="BL72" i="3"/>
  <c r="V73" i="3"/>
  <c r="BM65" i="3"/>
  <c r="BK42" i="3"/>
  <c r="BL44" i="3"/>
  <c r="BB71" i="3"/>
  <c r="BE11" i="3"/>
  <c r="BC8" i="3"/>
  <c r="AW70" i="3"/>
  <c r="AT11" i="3"/>
  <c r="AT65" i="3"/>
  <c r="AV29" i="3"/>
  <c r="V60" i="3"/>
  <c r="BJ44" i="3"/>
  <c r="BL66" i="3"/>
  <c r="BJ70" i="3"/>
  <c r="BA49" i="3"/>
  <c r="BD15" i="3"/>
  <c r="BE49" i="3"/>
  <c r="BA62" i="3"/>
  <c r="BB62" i="3"/>
  <c r="AW53" i="3"/>
  <c r="AT14" i="3"/>
  <c r="AT70" i="3"/>
  <c r="AU51" i="3"/>
  <c r="AU15" i="3"/>
  <c r="AS9" i="3"/>
  <c r="AT71" i="3"/>
  <c r="BK43" i="3"/>
  <c r="BM63" i="3"/>
  <c r="BK15" i="3"/>
  <c r="BB52" i="3"/>
  <c r="BE12" i="3"/>
  <c r="BA54" i="3"/>
  <c r="BB61" i="3"/>
  <c r="BC44" i="3"/>
  <c r="AS65" i="3"/>
  <c r="AU11" i="3"/>
  <c r="AU17" i="3"/>
  <c r="AV62" i="3"/>
  <c r="AV14" i="3"/>
  <c r="V51" i="3"/>
  <c r="BL64" i="3"/>
  <c r="BJ41" i="3"/>
  <c r="BJ20" i="3"/>
  <c r="BD20" i="3"/>
  <c r="BA70" i="3"/>
  <c r="BC11" i="3"/>
  <c r="BC10" i="3"/>
  <c r="AU14" i="3"/>
  <c r="AT53" i="3"/>
  <c r="AW29" i="3"/>
  <c r="AW54" i="3"/>
  <c r="AW11" i="3"/>
  <c r="AT56" i="3"/>
  <c r="BM66" i="3"/>
  <c r="BK20" i="3"/>
  <c r="BL45" i="3"/>
  <c r="BE15" i="3"/>
  <c r="BB54" i="3"/>
  <c r="BD10" i="3"/>
  <c r="BB73" i="3"/>
  <c r="BC61" i="3"/>
  <c r="AV11" i="3"/>
  <c r="AU70" i="3"/>
  <c r="AS10" i="3"/>
  <c r="AW15" i="3"/>
  <c r="BI63" i="3"/>
  <c r="BL65" i="3"/>
  <c r="BJ42" i="3"/>
  <c r="BM73" i="3"/>
  <c r="BL11" i="3"/>
  <c r="BA71" i="3"/>
  <c r="BD11" i="3"/>
  <c r="BD71" i="3"/>
  <c r="BB11" i="3"/>
  <c r="AU53" i="3"/>
  <c r="AW56" i="3"/>
  <c r="AV65" i="3"/>
  <c r="BL43" i="3"/>
  <c r="BM64" i="3"/>
  <c r="BK41" i="3"/>
  <c r="BI66" i="3"/>
  <c r="BK54" i="3"/>
  <c r="BB70" i="3"/>
  <c r="BE10" i="3"/>
  <c r="BE70" i="3"/>
  <c r="BD42" i="3"/>
  <c r="AV70" i="3"/>
  <c r="AS11" i="3"/>
  <c r="AS58" i="3"/>
  <c r="BJ43" i="3"/>
  <c r="BL63" i="3"/>
  <c r="BK45" i="3"/>
  <c r="BA52" i="3"/>
  <c r="BD12" i="3"/>
  <c r="BB9" i="3"/>
  <c r="AV53" i="3"/>
  <c r="AS14" i="3"/>
  <c r="AS71" i="3"/>
  <c r="AW26" i="3"/>
  <c r="V38" i="3"/>
  <c r="V32" i="3"/>
  <c r="V68" i="3"/>
  <c r="AC59" i="3"/>
  <c r="AC24" i="3"/>
  <c r="AC56" i="3"/>
  <c r="AC8" i="3"/>
  <c r="AC63" i="3"/>
  <c r="AC60" i="3"/>
  <c r="AE39" i="3"/>
  <c r="AE23" i="3"/>
  <c r="AE62" i="3"/>
  <c r="AE66" i="3"/>
  <c r="AE57" i="3"/>
  <c r="AE31" i="3"/>
  <c r="AG34" i="3"/>
  <c r="AG59" i="3"/>
  <c r="AG57" i="3"/>
  <c r="AG58" i="3"/>
  <c r="AG23" i="3"/>
  <c r="AF49" i="3"/>
  <c r="AF72" i="3"/>
  <c r="AF29" i="3"/>
  <c r="AF63" i="3"/>
  <c r="AF67" i="3"/>
  <c r="BM68" i="3"/>
  <c r="BK67" i="3"/>
  <c r="BI24" i="3"/>
  <c r="BJ46" i="3"/>
  <c r="BM28" i="3"/>
  <c r="BL39" i="3"/>
  <c r="BL56" i="3"/>
  <c r="BM25" i="3"/>
  <c r="BK56" i="3"/>
  <c r="BL25" i="3"/>
  <c r="BJ56" i="3"/>
  <c r="BL24" i="3"/>
  <c r="BI57" i="3"/>
  <c r="BL23" i="3"/>
  <c r="BL46" i="3"/>
  <c r="BJ27" i="3"/>
  <c r="BA68" i="3"/>
  <c r="BA69" i="3"/>
  <c r="BB40" i="3"/>
  <c r="BE21" i="3"/>
  <c r="BD25" i="3"/>
  <c r="BC59" i="3"/>
  <c r="BA28" i="3"/>
  <c r="BE46" i="3"/>
  <c r="BC27" i="3"/>
  <c r="BC23" i="3"/>
  <c r="BC46" i="3"/>
  <c r="BA27" i="3"/>
  <c r="BB31" i="3"/>
  <c r="BA46" i="3"/>
  <c r="BD28" i="3"/>
  <c r="AS16" i="3"/>
  <c r="AS32" i="3"/>
  <c r="AV23" i="3"/>
  <c r="AS37" i="3"/>
  <c r="AV42" i="3"/>
  <c r="AU69" i="3"/>
  <c r="AS38" i="3"/>
  <c r="AT42" i="3"/>
  <c r="AV49" i="3"/>
  <c r="AV32" i="3"/>
  <c r="AT40" i="3"/>
  <c r="AW35" i="3"/>
  <c r="AU22" i="3"/>
  <c r="AW67" i="3"/>
  <c r="AU30" i="3"/>
  <c r="V24" i="3"/>
  <c r="V39" i="3"/>
  <c r="V64" i="3"/>
  <c r="AC41" i="3"/>
  <c r="AC38" i="3"/>
  <c r="AC51" i="3"/>
  <c r="AC71" i="3"/>
  <c r="AC65" i="3"/>
  <c r="AC22" i="3"/>
  <c r="AE40" i="3"/>
  <c r="AE42" i="3"/>
  <c r="AE64" i="3"/>
  <c r="AE73" i="3"/>
  <c r="AE30" i="3"/>
  <c r="AG22" i="3"/>
  <c r="AG11" i="3"/>
  <c r="AG17" i="3"/>
  <c r="AG70" i="3"/>
  <c r="AG15" i="3"/>
  <c r="AG66" i="3"/>
  <c r="AG67" i="3"/>
  <c r="AF39" i="3"/>
  <c r="AF55" i="3"/>
  <c r="AF26" i="3"/>
  <c r="AF31" i="3"/>
  <c r="AF57" i="3"/>
  <c r="BI55" i="3"/>
  <c r="BL69" i="3"/>
  <c r="BJ23" i="3"/>
  <c r="BK48" i="3"/>
  <c r="BJ26" i="3"/>
  <c r="BM34" i="3"/>
  <c r="BK55" i="3"/>
  <c r="BI30" i="3"/>
  <c r="BJ55" i="3"/>
  <c r="BM24" i="3"/>
  <c r="BJ57" i="3"/>
  <c r="BM23" i="3"/>
  <c r="BJ59" i="3"/>
  <c r="BM31" i="3"/>
  <c r="BM48" i="3"/>
  <c r="BC68" i="3"/>
  <c r="BB67" i="3"/>
  <c r="BB56" i="3"/>
  <c r="BC39" i="3"/>
  <c r="BB26" i="3"/>
  <c r="BE24" i="3"/>
  <c r="BD58" i="3"/>
  <c r="BB22" i="3"/>
  <c r="BA34" i="3"/>
  <c r="BA59" i="3"/>
  <c r="BD31" i="3"/>
  <c r="BD48" i="3"/>
  <c r="BB55" i="3"/>
  <c r="BC30" i="3"/>
  <c r="BB48" i="3"/>
  <c r="BE22" i="3"/>
  <c r="AV66" i="3"/>
  <c r="AT37" i="3"/>
  <c r="AW42" i="3"/>
  <c r="AT35" i="3"/>
  <c r="AW41" i="3"/>
  <c r="AV68" i="3"/>
  <c r="AS31" i="3"/>
  <c r="AU41" i="3"/>
  <c r="AW45" i="3"/>
  <c r="AW37" i="3"/>
  <c r="AU39" i="3"/>
  <c r="AS55" i="3"/>
  <c r="AV30" i="3"/>
  <c r="AS49" i="3"/>
  <c r="AV38" i="3"/>
  <c r="V35" i="3"/>
  <c r="V49" i="3"/>
  <c r="V42" i="3"/>
  <c r="AC68" i="3"/>
  <c r="AC57" i="3"/>
  <c r="AC31" i="3"/>
  <c r="AC62" i="3"/>
  <c r="AC64" i="3"/>
  <c r="AC32" i="3"/>
  <c r="AE69" i="3"/>
  <c r="AE38" i="3"/>
  <c r="AE53" i="3"/>
  <c r="AE22" i="3"/>
  <c r="AE17" i="3"/>
  <c r="AG29" i="3"/>
  <c r="AG51" i="3"/>
  <c r="AG8" i="3"/>
  <c r="AG64" i="3"/>
  <c r="AG63" i="3"/>
  <c r="AF66" i="3"/>
  <c r="AF40" i="3"/>
  <c r="AF54" i="3"/>
  <c r="AF23" i="3"/>
  <c r="AF70" i="3"/>
  <c r="AF56" i="3"/>
  <c r="BL68" i="3"/>
  <c r="BM56" i="3"/>
  <c r="BK31" i="3"/>
  <c r="BL40" i="3"/>
  <c r="BK69" i="3"/>
  <c r="BI31" i="3"/>
  <c r="BL57" i="3"/>
  <c r="BJ29" i="3"/>
  <c r="BK57" i="3"/>
  <c r="BI29" i="3"/>
  <c r="BK59" i="3"/>
  <c r="BI28" i="3"/>
  <c r="BK58" i="3"/>
  <c r="BI22" i="3"/>
  <c r="BI25" i="3"/>
  <c r="BD67" i="3"/>
  <c r="BC69" i="3"/>
  <c r="BC55" i="3"/>
  <c r="BD34" i="3"/>
  <c r="BC57" i="3"/>
  <c r="BA29" i="3"/>
  <c r="BE47" i="3"/>
  <c r="BC21" i="3"/>
  <c r="BB25" i="3"/>
  <c r="BB58" i="3"/>
  <c r="BE30" i="3"/>
  <c r="BE40" i="3"/>
  <c r="BA47" i="3"/>
  <c r="BD29" i="3"/>
  <c r="BC40" i="3"/>
  <c r="AS63" i="3"/>
  <c r="AW63" i="3"/>
  <c r="AU35" i="3"/>
  <c r="AS22" i="3"/>
  <c r="AU67" i="3"/>
  <c r="AS30" i="3"/>
  <c r="AW55" i="3"/>
  <c r="AS67" i="3"/>
  <c r="AV40" i="3"/>
  <c r="AS42" i="3"/>
  <c r="AS68" i="3"/>
  <c r="AV22" i="3"/>
  <c r="AT49" i="3"/>
  <c r="AW38" i="3"/>
  <c r="AT45" i="3"/>
  <c r="AT33" i="3"/>
  <c r="V30" i="3"/>
  <c r="V16" i="3"/>
  <c r="V69" i="3"/>
  <c r="AC69" i="3"/>
  <c r="AC52" i="3"/>
  <c r="AC18" i="3"/>
  <c r="AC17" i="3"/>
  <c r="AC14" i="3"/>
  <c r="AC45" i="3"/>
  <c r="AC16" i="3"/>
  <c r="AE55" i="3"/>
  <c r="AE18" i="3"/>
  <c r="AE26" i="3"/>
  <c r="AE65" i="3"/>
  <c r="AE72" i="3"/>
  <c r="AE45" i="3"/>
  <c r="AE34" i="3"/>
  <c r="AG45" i="3"/>
  <c r="AG68" i="3"/>
  <c r="AG62" i="3"/>
  <c r="AG26" i="3"/>
  <c r="AG9" i="3"/>
  <c r="AG24" i="3"/>
  <c r="AF45" i="3"/>
  <c r="AF62" i="3"/>
  <c r="AF73" i="3"/>
  <c r="AF14" i="3"/>
  <c r="AF15" i="3"/>
  <c r="AF61" i="3"/>
  <c r="AF37" i="3"/>
  <c r="BM67" i="3"/>
  <c r="BI58" i="3"/>
  <c r="BL30" i="3"/>
  <c r="BM39" i="3"/>
  <c r="BL55" i="3"/>
  <c r="BJ30" i="3"/>
  <c r="BM59" i="3"/>
  <c r="BK28" i="3"/>
  <c r="BL59" i="3"/>
  <c r="BJ28" i="3"/>
  <c r="BL58" i="3"/>
  <c r="BJ22" i="3"/>
  <c r="BL47" i="3"/>
  <c r="BJ21" i="3"/>
  <c r="BJ24" i="3"/>
  <c r="BE69" i="3"/>
  <c r="BD56" i="3"/>
  <c r="BD68" i="3"/>
  <c r="BE25" i="3"/>
  <c r="BD59" i="3"/>
  <c r="BB28" i="3"/>
  <c r="BA39" i="3"/>
  <c r="BD27" i="3"/>
  <c r="BC24" i="3"/>
  <c r="BC47" i="3"/>
  <c r="BA21" i="3"/>
  <c r="BA24" i="3"/>
  <c r="BB46" i="3"/>
  <c r="BE28" i="3"/>
  <c r="BD39" i="3"/>
  <c r="AT64" i="3"/>
  <c r="AS66" i="3"/>
  <c r="AV67" i="3"/>
  <c r="AT30" i="3"/>
  <c r="AV69" i="3"/>
  <c r="AT38" i="3"/>
  <c r="AS24" i="3"/>
  <c r="AT69" i="3"/>
  <c r="AW39" i="3"/>
  <c r="AT41" i="3"/>
  <c r="AT55" i="3"/>
  <c r="AW30" i="3"/>
  <c r="AU45" i="3"/>
  <c r="AU63" i="3"/>
  <c r="AU34" i="3"/>
  <c r="V34" i="3"/>
  <c r="V40" i="3"/>
  <c r="V63" i="3"/>
  <c r="AC23" i="3"/>
  <c r="AC30" i="3"/>
  <c r="AC53" i="3"/>
  <c r="AC54" i="3"/>
  <c r="AC58" i="3"/>
  <c r="AC11" i="3"/>
  <c r="AC10" i="3"/>
  <c r="AE58" i="3"/>
  <c r="AE52" i="3"/>
  <c r="AE16" i="3"/>
  <c r="AE54" i="3"/>
  <c r="AE61" i="3"/>
  <c r="AE24" i="3"/>
  <c r="AG37" i="3"/>
  <c r="AG32" i="3"/>
  <c r="AG55" i="3"/>
  <c r="AG61" i="3"/>
  <c r="AG42" i="3"/>
  <c r="AG69" i="3"/>
  <c r="AF32" i="3"/>
  <c r="AF69" i="3"/>
  <c r="AF52" i="3"/>
  <c r="AF11" i="3"/>
  <c r="AF51" i="3"/>
  <c r="AF38" i="3"/>
  <c r="BK68" i="3"/>
  <c r="BJ47" i="3"/>
  <c r="BM29" i="3"/>
  <c r="BI23" i="3"/>
  <c r="BM57" i="3"/>
  <c r="BK29" i="3"/>
  <c r="BI48" i="3"/>
  <c r="BL22" i="3"/>
  <c r="BM58" i="3"/>
  <c r="BK22" i="3"/>
  <c r="BM47" i="3"/>
  <c r="BK21" i="3"/>
  <c r="BM46" i="3"/>
  <c r="BK27" i="3"/>
  <c r="BK23" i="3"/>
  <c r="BB68" i="3"/>
  <c r="BA67" i="3"/>
  <c r="BE67" i="3"/>
  <c r="BA30" i="3"/>
  <c r="BE58" i="3"/>
  <c r="BC22" i="3"/>
  <c r="BB34" i="3"/>
  <c r="BA57" i="3"/>
  <c r="BD23" i="3"/>
  <c r="BD46" i="3"/>
  <c r="BB27" i="3"/>
  <c r="BB23" i="3"/>
  <c r="BC48" i="3"/>
  <c r="BE68" i="3"/>
  <c r="BE34" i="3"/>
  <c r="AS64" i="3"/>
  <c r="AT63" i="3"/>
  <c r="AW69" i="3"/>
  <c r="AU38" i="3"/>
  <c r="AW68" i="3"/>
  <c r="AU31" i="3"/>
  <c r="AT23" i="3"/>
  <c r="AU68" i="3"/>
  <c r="AW32" i="3"/>
  <c r="AU40" i="3"/>
  <c r="AU49" i="3"/>
  <c r="AV63" i="3"/>
  <c r="AV34" i="3"/>
  <c r="AU64" i="3"/>
  <c r="AV24" i="3"/>
  <c r="V37" i="3"/>
  <c r="V55" i="3"/>
  <c r="V23" i="3"/>
  <c r="AC67" i="3"/>
  <c r="AC26" i="3"/>
  <c r="AC70" i="3"/>
  <c r="AC29" i="3"/>
  <c r="AC72" i="3"/>
  <c r="AC39" i="3"/>
  <c r="AC55" i="3"/>
  <c r="AE68" i="3"/>
  <c r="AE10" i="3"/>
  <c r="AE41" i="3"/>
  <c r="AE14" i="3"/>
  <c r="AE63" i="3"/>
  <c r="AE37" i="3"/>
  <c r="AG31" i="3"/>
  <c r="AG71" i="3"/>
  <c r="AG65" i="3"/>
  <c r="AG40" i="3"/>
  <c r="AG14" i="3"/>
  <c r="AG16" i="3"/>
  <c r="AG35" i="3"/>
  <c r="AF71" i="3"/>
  <c r="AF41" i="3"/>
  <c r="AF60" i="3"/>
  <c r="AF59" i="3"/>
  <c r="AF64" i="3"/>
  <c r="AF17" i="3"/>
  <c r="BL67" i="3"/>
  <c r="BK46" i="3"/>
  <c r="BI27" i="3"/>
  <c r="BJ31" i="3"/>
  <c r="BI46" i="3"/>
  <c r="BL28" i="3"/>
  <c r="BJ40" i="3"/>
  <c r="BM21" i="3"/>
  <c r="BI40" i="3"/>
  <c r="BL21" i="3"/>
  <c r="BI39" i="3"/>
  <c r="BL27" i="3"/>
  <c r="BI34" i="3"/>
  <c r="BI59" i="3"/>
  <c r="BL31" i="3"/>
  <c r="BC67" i="3"/>
  <c r="BB69" i="3"/>
  <c r="BD57" i="3"/>
  <c r="BB29" i="3"/>
  <c r="BA40" i="3"/>
  <c r="BD21" i="3"/>
  <c r="BC25" i="3"/>
  <c r="BB59" i="3"/>
  <c r="BE31" i="3"/>
  <c r="BE48" i="3"/>
  <c r="BE55" i="3"/>
  <c r="BC31" i="3"/>
  <c r="BD40" i="3"/>
  <c r="BA56" i="3"/>
  <c r="BA31" i="3"/>
  <c r="AT31" i="3"/>
  <c r="AU66" i="3"/>
  <c r="AS45" i="3"/>
  <c r="AT66" i="3"/>
  <c r="AS34" i="3"/>
  <c r="AT16" i="3"/>
  <c r="AU42" i="3"/>
  <c r="AV55" i="3"/>
  <c r="AS69" i="3"/>
  <c r="AV39" i="3"/>
  <c r="AV45" i="3"/>
  <c r="AV64" i="3"/>
  <c r="AW24" i="3"/>
  <c r="AT32" i="3"/>
  <c r="AW23" i="3"/>
  <c r="V22" i="3"/>
  <c r="V31" i="3"/>
  <c r="V67" i="3"/>
  <c r="AC35" i="3"/>
  <c r="AC34" i="3"/>
  <c r="AC15" i="3"/>
  <c r="AC73" i="3"/>
  <c r="AC61" i="3"/>
  <c r="AC40" i="3"/>
  <c r="AE49" i="3"/>
  <c r="AE8" i="3"/>
  <c r="AE56" i="3"/>
  <c r="AE59" i="3"/>
  <c r="AE60" i="3"/>
  <c r="AE35" i="3"/>
  <c r="AE32" i="3"/>
  <c r="AG39" i="3"/>
  <c r="AG49" i="3"/>
  <c r="AG60" i="3"/>
  <c r="AG54" i="3"/>
  <c r="AG52" i="3"/>
  <c r="AG53" i="3"/>
  <c r="AG18" i="3"/>
  <c r="AG56" i="3"/>
  <c r="AF16" i="3"/>
  <c r="AF68" i="3"/>
  <c r="AF53" i="3"/>
  <c r="AF58" i="3"/>
  <c r="AF42" i="3"/>
  <c r="AF24" i="3"/>
  <c r="AF30" i="3"/>
  <c r="BM69" i="3"/>
  <c r="BL48" i="3"/>
  <c r="BM55" i="3"/>
  <c r="BK30" i="3"/>
  <c r="BJ48" i="3"/>
  <c r="BM22" i="3"/>
  <c r="BK39" i="3"/>
  <c r="BJ67" i="3"/>
  <c r="BJ39" i="3"/>
  <c r="BM27" i="3"/>
  <c r="BJ34" i="3"/>
  <c r="BI68" i="3"/>
  <c r="BJ25" i="3"/>
  <c r="BJ58" i="3"/>
  <c r="BM30" i="3"/>
  <c r="BD69" i="3"/>
  <c r="BC56" i="3"/>
  <c r="BE59" i="3"/>
  <c r="BC28" i="3"/>
  <c r="BB39" i="3"/>
  <c r="BE27" i="3"/>
  <c r="BD24" i="3"/>
  <c r="BC58" i="3"/>
  <c r="BA22" i="3"/>
  <c r="BA25" i="3"/>
  <c r="BA58" i="3"/>
  <c r="BD30" i="3"/>
  <c r="BE39" i="3"/>
  <c r="BA55" i="3"/>
  <c r="BB30" i="3"/>
  <c r="AU16" i="3"/>
  <c r="AW31" i="3"/>
  <c r="AT34" i="3"/>
  <c r="AV31" i="3"/>
  <c r="AT24" i="3"/>
  <c r="AS35" i="3"/>
  <c r="AV41" i="3"/>
  <c r="AW49" i="3"/>
  <c r="AT68" i="3"/>
  <c r="AW22" i="3"/>
  <c r="AW34" i="3"/>
  <c r="AU32" i="3"/>
  <c r="AS40" i="3"/>
  <c r="AU37" i="3"/>
  <c r="AS39" i="3"/>
  <c r="V45" i="3"/>
  <c r="V41" i="3"/>
  <c r="V66" i="3"/>
  <c r="AC42" i="3"/>
  <c r="AC66" i="3"/>
  <c r="AC37" i="3"/>
  <c r="AC9" i="3"/>
  <c r="AC49" i="3"/>
  <c r="AE9" i="3"/>
  <c r="AE51" i="3"/>
  <c r="AE29" i="3"/>
  <c r="AE11" i="3"/>
  <c r="AE71" i="3"/>
  <c r="AE15" i="3"/>
  <c r="AE67" i="3"/>
  <c r="AE70" i="3"/>
  <c r="AG30" i="3"/>
  <c r="AG41" i="3"/>
  <c r="AG72" i="3"/>
  <c r="AG73" i="3"/>
  <c r="AG10" i="3"/>
  <c r="AG38" i="3"/>
  <c r="AF22" i="3"/>
  <c r="AF8" i="3"/>
  <c r="AF9" i="3"/>
  <c r="AF10" i="3"/>
  <c r="AF65" i="3"/>
  <c r="AF18" i="3"/>
  <c r="AF35" i="3"/>
  <c r="AF34" i="3"/>
  <c r="BJ68" i="3"/>
  <c r="BM40" i="3"/>
  <c r="BI47" i="3"/>
  <c r="BL29" i="3"/>
  <c r="BK40" i="3"/>
  <c r="BJ69" i="3"/>
  <c r="BL34" i="3"/>
  <c r="BI69" i="3"/>
  <c r="BK34" i="3"/>
  <c r="BI67" i="3"/>
  <c r="BK25" i="3"/>
  <c r="BI56" i="3"/>
  <c r="BK24" i="3"/>
  <c r="BK47" i="3"/>
  <c r="BI21" i="3"/>
  <c r="BE56" i="3"/>
  <c r="BD55" i="3"/>
  <c r="BA48" i="3"/>
  <c r="BD22" i="3"/>
  <c r="BC34" i="3"/>
  <c r="BB57" i="3"/>
  <c r="BE23" i="3"/>
  <c r="BD47" i="3"/>
  <c r="BB21" i="3"/>
  <c r="BB24" i="3"/>
  <c r="BB47" i="3"/>
  <c r="BE29" i="3"/>
  <c r="BA23" i="3"/>
  <c r="BE57" i="3"/>
  <c r="BC29" i="3"/>
  <c r="AW66" i="3"/>
  <c r="AW16" i="3"/>
  <c r="AU24" i="3"/>
  <c r="AV16" i="3"/>
  <c r="AU23" i="3"/>
  <c r="AT67" i="3"/>
  <c r="AW40" i="3"/>
  <c r="AS23" i="3"/>
  <c r="AU55" i="3"/>
  <c r="AW64" i="3"/>
  <c r="AS41" i="3"/>
  <c r="AV37" i="3"/>
  <c r="AT39" i="3"/>
  <c r="AV35" i="3"/>
  <c r="AT22" i="3"/>
  <c r="V33" i="3"/>
  <c r="U33" i="3"/>
  <c r="AC33" i="3"/>
  <c r="W33" i="3"/>
  <c r="X33" i="3"/>
  <c r="Y33" i="3"/>
  <c r="AS33" i="3"/>
  <c r="BM26" i="3"/>
  <c r="AU33" i="3"/>
  <c r="AW33" i="3"/>
  <c r="AO33" i="3"/>
  <c r="U66" i="3"/>
  <c r="AG33" i="3"/>
  <c r="AV33" i="3"/>
  <c r="AN33" i="3"/>
  <c r="U38" i="3"/>
  <c r="AM33" i="3"/>
  <c r="AE33" i="3"/>
  <c r="AK33" i="3"/>
  <c r="W38" i="3"/>
  <c r="BE26" i="3"/>
  <c r="AF33" i="3"/>
  <c r="X38" i="3"/>
  <c r="BD26" i="3"/>
  <c r="BK26" i="3"/>
  <c r="Y38" i="3"/>
  <c r="BC26" i="3"/>
  <c r="BI26" i="3"/>
  <c r="W66" i="3"/>
  <c r="BA26" i="3"/>
  <c r="BL26" i="3"/>
  <c r="Y72" i="3"/>
  <c r="U73" i="3"/>
  <c r="W54" i="3"/>
  <c r="Y51" i="3"/>
  <c r="Y53" i="3"/>
  <c r="U52" i="3"/>
  <c r="U61" i="3"/>
  <c r="W53" i="3"/>
  <c r="X52" i="3"/>
  <c r="U63" i="3"/>
  <c r="W35" i="3"/>
  <c r="Y45" i="3"/>
  <c r="Y42" i="3"/>
  <c r="W41" i="3"/>
  <c r="Y23" i="3"/>
  <c r="W67" i="3"/>
  <c r="Y24" i="3"/>
  <c r="U68" i="3"/>
  <c r="Y55" i="3"/>
  <c r="X63" i="3"/>
  <c r="U8" i="3"/>
  <c r="U17" i="3"/>
  <c r="X10" i="3"/>
  <c r="W26" i="3"/>
  <c r="X60" i="3"/>
  <c r="X26" i="3"/>
  <c r="U58" i="3"/>
  <c r="U56" i="3"/>
  <c r="Y17" i="3"/>
  <c r="X53" i="3"/>
  <c r="U24" i="3"/>
  <c r="W30" i="3"/>
  <c r="X32" i="3"/>
  <c r="W68" i="3"/>
  <c r="X24" i="3"/>
  <c r="X23" i="3"/>
  <c r="Y49" i="3"/>
  <c r="Y16" i="3"/>
  <c r="W69" i="3"/>
  <c r="X16" i="3"/>
  <c r="Y34" i="3"/>
  <c r="U10" i="3"/>
  <c r="W9" i="3"/>
  <c r="U26" i="3"/>
  <c r="Y56" i="3"/>
  <c r="Y65" i="3"/>
  <c r="X58" i="3"/>
  <c r="W17" i="3"/>
  <c r="U60" i="3"/>
  <c r="W14" i="3"/>
  <c r="W52" i="3"/>
  <c r="U45" i="3"/>
  <c r="U23" i="3"/>
  <c r="X42" i="3"/>
  <c r="U49" i="3"/>
  <c r="Y37" i="3"/>
  <c r="X31" i="3"/>
  <c r="Y63" i="3"/>
  <c r="W16" i="3"/>
  <c r="Y52" i="3"/>
  <c r="U55" i="3"/>
  <c r="W34" i="3"/>
  <c r="W24" i="3"/>
  <c r="X68" i="3"/>
  <c r="Y64" i="3"/>
  <c r="W45" i="3"/>
  <c r="Y39" i="3"/>
  <c r="X70" i="3"/>
  <c r="U70" i="3"/>
  <c r="U41" i="3"/>
  <c r="Y68" i="3"/>
  <c r="Y66" i="3"/>
  <c r="Y69" i="3"/>
  <c r="W23" i="3"/>
  <c r="W42" i="3"/>
  <c r="U29" i="3"/>
  <c r="X59" i="3"/>
  <c r="Y10" i="3"/>
  <c r="Y14" i="3"/>
  <c r="Y58" i="3"/>
  <c r="Y15" i="3"/>
  <c r="X29" i="3"/>
  <c r="Y62" i="3"/>
  <c r="X41" i="3"/>
  <c r="X55" i="3"/>
  <c r="U59" i="3"/>
  <c r="W15" i="3"/>
  <c r="U11" i="3"/>
  <c r="W61" i="3"/>
  <c r="U62" i="3"/>
  <c r="X51" i="3"/>
  <c r="U69" i="3"/>
  <c r="Y31" i="3"/>
  <c r="Y30" i="3"/>
  <c r="W22" i="3"/>
  <c r="X45" i="3"/>
  <c r="X40" i="3"/>
  <c r="X34" i="3"/>
  <c r="U57" i="3"/>
  <c r="Y18" i="3"/>
  <c r="Y59" i="3"/>
  <c r="Y57" i="3"/>
  <c r="X65" i="3"/>
  <c r="W60" i="3"/>
  <c r="Y9" i="3"/>
  <c r="W72" i="3"/>
  <c r="Y54" i="3"/>
  <c r="Y61" i="3"/>
  <c r="W62" i="3"/>
  <c r="U35" i="3"/>
  <c r="W40" i="3"/>
  <c r="X67" i="3"/>
  <c r="W55" i="3"/>
  <c r="U71" i="3"/>
  <c r="Y60" i="3"/>
  <c r="X18" i="3"/>
  <c r="X39" i="3"/>
  <c r="X35" i="3"/>
  <c r="X22" i="3"/>
  <c r="Y40" i="3"/>
  <c r="Y26" i="3"/>
  <c r="U9" i="3"/>
  <c r="W29" i="3"/>
  <c r="Y29" i="3"/>
  <c r="X72" i="3"/>
  <c r="X54" i="3"/>
  <c r="Y41" i="3"/>
  <c r="U16" i="3"/>
  <c r="Y22" i="3"/>
  <c r="X49" i="3"/>
  <c r="X64" i="3"/>
  <c r="W31" i="3"/>
  <c r="Y35" i="3"/>
  <c r="X56" i="3"/>
  <c r="X57" i="3"/>
  <c r="W58" i="3"/>
  <c r="Y73" i="3"/>
  <c r="U53" i="3"/>
  <c r="W70" i="3"/>
  <c r="X30" i="3"/>
  <c r="W32" i="3"/>
  <c r="U37" i="3"/>
  <c r="U65" i="3"/>
  <c r="X14" i="3"/>
  <c r="W10" i="3"/>
  <c r="X73" i="3"/>
  <c r="Y67" i="3"/>
  <c r="X37" i="3"/>
  <c r="W71" i="3"/>
  <c r="U54" i="3"/>
  <c r="X62" i="3"/>
  <c r="U32" i="3"/>
  <c r="W49" i="3"/>
  <c r="U42" i="3"/>
  <c r="U14" i="3"/>
  <c r="W8" i="3"/>
  <c r="W11" i="3"/>
  <c r="U31" i="3"/>
  <c r="U18" i="3"/>
  <c r="Y70" i="3"/>
  <c r="U40" i="3"/>
  <c r="W63" i="3"/>
  <c r="W37" i="3"/>
  <c r="X11" i="3"/>
  <c r="X9" i="3"/>
  <c r="W56" i="3"/>
  <c r="X61" i="3"/>
  <c r="W39" i="3"/>
  <c r="W57" i="3"/>
  <c r="X15" i="3"/>
  <c r="Y32" i="3"/>
  <c r="U34" i="3"/>
  <c r="W59" i="3"/>
  <c r="X8" i="3"/>
  <c r="Y11" i="3"/>
  <c r="U51" i="3"/>
  <c r="U39" i="3"/>
  <c r="U22" i="3"/>
  <c r="U64" i="3"/>
  <c r="X71" i="3"/>
  <c r="Y8" i="3"/>
  <c r="W73" i="3"/>
  <c r="U67" i="3"/>
  <c r="X66" i="3"/>
  <c r="Y71" i="3"/>
  <c r="X17" i="3"/>
  <c r="U30" i="3"/>
  <c r="W64" i="3"/>
  <c r="X69" i="3"/>
  <c r="U15" i="3"/>
  <c r="W65" i="3"/>
  <c r="W18" i="3"/>
  <c r="U72" i="3"/>
  <c r="W51" i="3"/>
  <c r="Z84" i="3"/>
  <c r="E4" i="3"/>
  <c r="AP84" i="3"/>
  <c r="G4" i="3"/>
  <c r="AH84" i="3"/>
  <c r="F4" i="3"/>
  <c r="BN84" i="3"/>
  <c r="J4" i="3"/>
  <c r="CA7" i="3"/>
  <c r="BF84" i="3"/>
  <c r="I4" i="3"/>
  <c r="BZ7" i="3"/>
  <c r="AX84" i="3"/>
  <c r="H4" i="3"/>
  <c r="BY7" i="3"/>
  <c r="AT21" i="79"/>
  <c r="AS21" i="79"/>
  <c r="AU21" i="79"/>
  <c r="AR21" i="79"/>
  <c r="AR20" i="79"/>
  <c r="AS20" i="79"/>
  <c r="AT20" i="79"/>
  <c r="AU20" i="79"/>
  <c r="AS19" i="79"/>
  <c r="AT19" i="79"/>
  <c r="AU19" i="79"/>
  <c r="AR19" i="79"/>
  <c r="AU14" i="79"/>
  <c r="AU16" i="79"/>
  <c r="AU15" i="79"/>
  <c r="AU17" i="79"/>
  <c r="AT14" i="79"/>
  <c r="AT17" i="79"/>
  <c r="AT15" i="79"/>
  <c r="AT16" i="79"/>
  <c r="AR14" i="79"/>
  <c r="AR15" i="79"/>
  <c r="AR17" i="79"/>
  <c r="AR16" i="79"/>
  <c r="AS14" i="79"/>
  <c r="AS17" i="79"/>
  <c r="AS16" i="79"/>
  <c r="AS15" i="79"/>
  <c r="AV27" i="79"/>
  <c r="AT38" i="79"/>
  <c r="AT45" i="79" s="1"/>
  <c r="AR38" i="79"/>
  <c r="AR45" i="79" s="1"/>
  <c r="AS38" i="79"/>
  <c r="AS45" i="79" s="1"/>
  <c r="AU38" i="79"/>
  <c r="AU45" i="79" s="1"/>
  <c r="AV43" i="79"/>
  <c r="AV42" i="79"/>
  <c r="AV44" i="79"/>
  <c r="AV41" i="79"/>
  <c r="AV40" i="79"/>
  <c r="AV36" i="79"/>
  <c r="AV34" i="79"/>
  <c r="AV33" i="79"/>
  <c r="AV31" i="79"/>
  <c r="AV22" i="79"/>
  <c r="AV18" i="79"/>
  <c r="AV13" i="79"/>
  <c r="AV12" i="79"/>
  <c r="AV24" i="79"/>
  <c r="S121" i="3"/>
  <c r="AK2" i="3"/>
  <c r="AC2" i="3"/>
  <c r="BA2" i="3"/>
  <c r="AS2" i="3"/>
  <c r="U2" i="3"/>
  <c r="BI2" i="3"/>
  <c r="Z48" i="3" l="1"/>
  <c r="AA48" i="3" s="1"/>
  <c r="AB48" i="3" s="1"/>
  <c r="AP12" i="3"/>
  <c r="AQ12" i="3" s="1"/>
  <c r="AR12" i="3" s="1"/>
  <c r="AD90" i="3"/>
  <c r="AH48" i="3"/>
  <c r="AI48" i="3" s="1"/>
  <c r="AJ48" i="3" s="1"/>
  <c r="AX27" i="3"/>
  <c r="BF19" i="3"/>
  <c r="BG19" i="3" s="1"/>
  <c r="BH19" i="3" s="1"/>
  <c r="BJ86" i="3"/>
  <c r="AP21" i="3"/>
  <c r="AQ21" i="3" s="1"/>
  <c r="AR21" i="3" s="1"/>
  <c r="BN19" i="3"/>
  <c r="BN50" i="3"/>
  <c r="AX28" i="3"/>
  <c r="AY28" i="3" s="1"/>
  <c r="AZ28" i="3" s="1"/>
  <c r="AX12" i="3"/>
  <c r="AY12" i="3" s="1"/>
  <c r="AZ12" i="3" s="1"/>
  <c r="Z50" i="3"/>
  <c r="AP48" i="3"/>
  <c r="AQ48" i="3" s="1"/>
  <c r="AR48" i="3" s="1"/>
  <c r="AH46" i="3"/>
  <c r="AI46" i="3" s="1"/>
  <c r="AJ46" i="3" s="1"/>
  <c r="AH13" i="3"/>
  <c r="AP28" i="3"/>
  <c r="BN17" i="3"/>
  <c r="BF17" i="3"/>
  <c r="BG17" i="3" s="1"/>
  <c r="BH17" i="3" s="1"/>
  <c r="BF13" i="3"/>
  <c r="BG13" i="3" s="1"/>
  <c r="BH13" i="3" s="1"/>
  <c r="AP13" i="3"/>
  <c r="AH12" i="3"/>
  <c r="AI12" i="3" s="1"/>
  <c r="AJ12" i="3" s="1"/>
  <c r="AX50" i="3"/>
  <c r="AY50" i="3" s="1"/>
  <c r="AZ50" i="3" s="1"/>
  <c r="BN36" i="3"/>
  <c r="AH27" i="3"/>
  <c r="Z12" i="3"/>
  <c r="Z21" i="3"/>
  <c r="AH28" i="3"/>
  <c r="AI28" i="3" s="1"/>
  <c r="AJ28" i="3" s="1"/>
  <c r="AP20" i="3"/>
  <c r="BN37" i="3"/>
  <c r="AX25" i="3"/>
  <c r="BF16" i="3"/>
  <c r="Z43" i="3"/>
  <c r="AA43" i="3" s="1"/>
  <c r="AB43" i="3" s="1"/>
  <c r="BF35" i="3"/>
  <c r="Z47" i="3"/>
  <c r="BF51" i="3"/>
  <c r="BG51" i="3" s="1"/>
  <c r="BH51" i="3" s="1"/>
  <c r="AX19" i="3"/>
  <c r="AY19" i="3" s="1"/>
  <c r="AZ19" i="3" s="1"/>
  <c r="BF38" i="3"/>
  <c r="BG38" i="3" s="1"/>
  <c r="BN13" i="3"/>
  <c r="AX13" i="3"/>
  <c r="BF37" i="3"/>
  <c r="BF32" i="3"/>
  <c r="BG32" i="3" s="1"/>
  <c r="BH32" i="3" s="1"/>
  <c r="Z28" i="3"/>
  <c r="BF50" i="3"/>
  <c r="BG50" i="3" s="1"/>
  <c r="BH50" i="3" s="1"/>
  <c r="BN16" i="3"/>
  <c r="AH43" i="3"/>
  <c r="BN35" i="3"/>
  <c r="AH47" i="3"/>
  <c r="BN51" i="3"/>
  <c r="AH20" i="3"/>
  <c r="AI20" i="3" s="1"/>
  <c r="AJ20" i="3" s="1"/>
  <c r="BN33" i="3"/>
  <c r="AP46" i="3"/>
  <c r="AQ46" i="3" s="1"/>
  <c r="AR46" i="3" s="1"/>
  <c r="AP27" i="3"/>
  <c r="AP25" i="3"/>
  <c r="AQ25" i="3" s="1"/>
  <c r="AR25" i="3" s="1"/>
  <c r="AH21" i="3"/>
  <c r="AI21" i="3" s="1"/>
  <c r="AJ21" i="3" s="1"/>
  <c r="AH25" i="3"/>
  <c r="AI25" i="3" s="1"/>
  <c r="AJ25" i="3" s="1"/>
  <c r="AH44" i="3"/>
  <c r="AX44" i="3"/>
  <c r="AY44" i="3" s="1"/>
  <c r="AZ44" i="3" s="1"/>
  <c r="Z44" i="3"/>
  <c r="AA44" i="3" s="1"/>
  <c r="AB44" i="3" s="1"/>
  <c r="Z19" i="3"/>
  <c r="AX21" i="3"/>
  <c r="BN32" i="3"/>
  <c r="AP43" i="3"/>
  <c r="AP47" i="3"/>
  <c r="AQ47" i="3" s="1"/>
  <c r="AR47" i="3" s="1"/>
  <c r="Z25" i="3"/>
  <c r="BN14" i="3"/>
  <c r="Z20" i="3"/>
  <c r="AA20" i="3" s="1"/>
  <c r="AB20" i="3" s="1"/>
  <c r="AX48" i="3"/>
  <c r="BN38" i="3"/>
  <c r="AH19" i="3"/>
  <c r="AI19" i="3" s="1"/>
  <c r="AJ19" i="3" s="1"/>
  <c r="Z27" i="3"/>
  <c r="AX43" i="3"/>
  <c r="AX47" i="3"/>
  <c r="AY47" i="3" s="1"/>
  <c r="AZ47" i="3" s="1"/>
  <c r="AX20" i="3"/>
  <c r="AY20" i="3" s="1"/>
  <c r="AZ20" i="3" s="1"/>
  <c r="AP50" i="3"/>
  <c r="AX46" i="3"/>
  <c r="AY46" i="3" s="1"/>
  <c r="AZ46" i="3" s="1"/>
  <c r="BF18" i="3"/>
  <c r="AP44" i="3"/>
  <c r="BN18" i="3"/>
  <c r="AH50" i="3"/>
  <c r="BF14" i="3"/>
  <c r="AP19" i="3"/>
  <c r="BF33" i="3"/>
  <c r="Z46" i="3"/>
  <c r="BF36" i="3"/>
  <c r="Z13" i="3"/>
  <c r="AA13" i="3" s="1"/>
  <c r="AB13" i="3" s="1"/>
  <c r="AL90" i="3"/>
  <c r="AX9" i="3"/>
  <c r="AY9" i="3" s="1"/>
  <c r="AZ9" i="3" s="1"/>
  <c r="AX36" i="3"/>
  <c r="AY36" i="3" s="1"/>
  <c r="AZ36" i="3" s="1"/>
  <c r="Z36" i="3"/>
  <c r="AH36" i="3"/>
  <c r="AP36" i="3"/>
  <c r="BF60" i="3"/>
  <c r="BN60" i="3"/>
  <c r="BN59" i="3"/>
  <c r="AP35" i="3"/>
  <c r="AQ35" i="3" s="1"/>
  <c r="AR35" i="3" s="1"/>
  <c r="AH66" i="3"/>
  <c r="AI66" i="3" s="1"/>
  <c r="AJ66" i="3" s="1"/>
  <c r="AP17" i="3"/>
  <c r="AQ17" i="3" s="1"/>
  <c r="AR17" i="3" s="1"/>
  <c r="BN56" i="3"/>
  <c r="BF58" i="3"/>
  <c r="BG58" i="3" s="1"/>
  <c r="BH58" i="3" s="1"/>
  <c r="AP55" i="3"/>
  <c r="AQ55" i="3" s="1"/>
  <c r="AR55" i="3" s="1"/>
  <c r="BF48" i="3"/>
  <c r="BG48" i="3" s="1"/>
  <c r="BH48" i="3" s="1"/>
  <c r="BN67" i="3"/>
  <c r="AH73" i="3"/>
  <c r="AI73" i="3" s="1"/>
  <c r="AJ73" i="3" s="1"/>
  <c r="AH26" i="3"/>
  <c r="AI26" i="3" s="1"/>
  <c r="AJ26" i="3" s="1"/>
  <c r="AH57" i="3"/>
  <c r="AI57" i="3" s="1"/>
  <c r="AJ57" i="3" s="1"/>
  <c r="AX58" i="3"/>
  <c r="AY58" i="3" s="1"/>
  <c r="AZ58" i="3" s="1"/>
  <c r="AX10" i="3"/>
  <c r="AY10" i="3" s="1"/>
  <c r="AZ10" i="3" s="1"/>
  <c r="BF53" i="3"/>
  <c r="BG53" i="3" s="1"/>
  <c r="BH53" i="3" s="1"/>
  <c r="BN71" i="3"/>
  <c r="BN47" i="3"/>
  <c r="AH42" i="3"/>
  <c r="AI42" i="3" s="1"/>
  <c r="AJ42" i="3" s="1"/>
  <c r="BF25" i="3"/>
  <c r="BG25" i="3" s="1"/>
  <c r="BH25" i="3" s="1"/>
  <c r="AH61" i="3"/>
  <c r="AI61" i="3" s="1"/>
  <c r="AJ61" i="3" s="1"/>
  <c r="BN46" i="3"/>
  <c r="AH23" i="3"/>
  <c r="AI23" i="3" s="1"/>
  <c r="AJ23" i="3" s="1"/>
  <c r="AP30" i="3"/>
  <c r="AQ30" i="3" s="1"/>
  <c r="AR30" i="3" s="1"/>
  <c r="AP67" i="3"/>
  <c r="AQ67" i="3" s="1"/>
  <c r="AR67" i="3" s="1"/>
  <c r="AH55" i="3"/>
  <c r="AI55" i="3" s="1"/>
  <c r="AJ55" i="3" s="1"/>
  <c r="BN21" i="3"/>
  <c r="BF55" i="3"/>
  <c r="BG55" i="3" s="1"/>
  <c r="BH55" i="3" s="1"/>
  <c r="BF57" i="3"/>
  <c r="BG57" i="3" s="1"/>
  <c r="BH57" i="3" s="1"/>
  <c r="BF52" i="3"/>
  <c r="BG52" i="3" s="1"/>
  <c r="BH52" i="3" s="1"/>
  <c r="AP54" i="3"/>
  <c r="AQ54" i="3" s="1"/>
  <c r="AR54" i="3" s="1"/>
  <c r="AP71" i="3"/>
  <c r="AQ71" i="3" s="1"/>
  <c r="AR71" i="3" s="1"/>
  <c r="AP62" i="3"/>
  <c r="AQ62" i="3" s="1"/>
  <c r="AR62" i="3" s="1"/>
  <c r="AP15" i="3"/>
  <c r="AQ15" i="3" s="1"/>
  <c r="AR15" i="3" s="1"/>
  <c r="AX71" i="3"/>
  <c r="AY71" i="3" s="1"/>
  <c r="AZ71" i="3" s="1"/>
  <c r="BN66" i="3"/>
  <c r="BF54" i="3"/>
  <c r="BG54" i="3" s="1"/>
  <c r="BH54" i="3" s="1"/>
  <c r="BF23" i="3"/>
  <c r="BG23" i="3" s="1"/>
  <c r="BH23" i="3" s="1"/>
  <c r="AH37" i="3"/>
  <c r="AI37" i="3" s="1"/>
  <c r="AJ37" i="3" s="1"/>
  <c r="AX40" i="3"/>
  <c r="AY40" i="3" s="1"/>
  <c r="AZ40" i="3" s="1"/>
  <c r="AH67" i="3"/>
  <c r="AI67" i="3" s="1"/>
  <c r="AJ67" i="3" s="1"/>
  <c r="BF67" i="3"/>
  <c r="BG67" i="3" s="1"/>
  <c r="BH67" i="3" s="1"/>
  <c r="AH10" i="3"/>
  <c r="AI10" i="3" s="1"/>
  <c r="AJ10" i="3" s="1"/>
  <c r="AX66" i="3"/>
  <c r="AY66" i="3" s="1"/>
  <c r="AZ66" i="3" s="1"/>
  <c r="AH45" i="3"/>
  <c r="AI45" i="3" s="1"/>
  <c r="AJ45" i="3" s="1"/>
  <c r="AX42" i="3"/>
  <c r="AY42" i="3" s="1"/>
  <c r="AZ42" i="3" s="1"/>
  <c r="AH64" i="3"/>
  <c r="AI64" i="3" s="1"/>
  <c r="AJ64" i="3" s="1"/>
  <c r="BF34" i="3"/>
  <c r="BG34" i="3" s="1"/>
  <c r="BH34" i="3" s="1"/>
  <c r="BN30" i="3"/>
  <c r="AX16" i="3"/>
  <c r="AY16" i="3" s="1"/>
  <c r="AZ16" i="3" s="1"/>
  <c r="AX14" i="3"/>
  <c r="AY14" i="3" s="1"/>
  <c r="AZ14" i="3" s="1"/>
  <c r="BF71" i="3"/>
  <c r="BG71" i="3" s="1"/>
  <c r="BH71" i="3" s="1"/>
  <c r="BF62" i="3"/>
  <c r="BG62" i="3" s="1"/>
  <c r="BH62" i="3" s="1"/>
  <c r="BN42" i="3"/>
  <c r="BO42" i="3" s="1"/>
  <c r="BP42" i="3" s="1"/>
  <c r="BN8" i="3"/>
  <c r="BN70" i="3"/>
  <c r="BF44" i="3"/>
  <c r="BG44" i="3" s="1"/>
  <c r="BH44" i="3" s="1"/>
  <c r="AP29" i="3"/>
  <c r="AQ29" i="3" s="1"/>
  <c r="AR29" i="3" s="1"/>
  <c r="AP63" i="3"/>
  <c r="AQ63" i="3" s="1"/>
  <c r="AR63" i="3" s="1"/>
  <c r="AP56" i="3"/>
  <c r="AQ56" i="3" s="1"/>
  <c r="AR56" i="3" s="1"/>
  <c r="AP45" i="3"/>
  <c r="AQ45" i="3" s="1"/>
  <c r="AR45" i="3" s="1"/>
  <c r="AP61" i="3"/>
  <c r="AQ61" i="3" s="1"/>
  <c r="AR61" i="3" s="1"/>
  <c r="AP11" i="3"/>
  <c r="AQ11" i="3" s="1"/>
  <c r="AR11" i="3" s="1"/>
  <c r="AH35" i="3"/>
  <c r="AI35" i="3" s="1"/>
  <c r="AJ35" i="3" s="1"/>
  <c r="AX45" i="3"/>
  <c r="AY45" i="3" s="1"/>
  <c r="AZ45" i="3" s="1"/>
  <c r="BN40" i="3"/>
  <c r="AH11" i="3"/>
  <c r="AI11" i="3" s="1"/>
  <c r="AJ11" i="3" s="1"/>
  <c r="AH14" i="3"/>
  <c r="AI14" i="3" s="1"/>
  <c r="AJ14" i="3" s="1"/>
  <c r="AX63" i="3"/>
  <c r="AY63" i="3" s="1"/>
  <c r="AZ63" i="3" s="1"/>
  <c r="BN25" i="3"/>
  <c r="AH62" i="3"/>
  <c r="AI62" i="3" s="1"/>
  <c r="AJ62" i="3" s="1"/>
  <c r="AH65" i="3"/>
  <c r="AI65" i="3" s="1"/>
  <c r="AJ65" i="3" s="1"/>
  <c r="BF28" i="3"/>
  <c r="BG28" i="3" s="1"/>
  <c r="BH28" i="3" s="1"/>
  <c r="AH63" i="3"/>
  <c r="AI63" i="3" s="1"/>
  <c r="AJ63" i="3" s="1"/>
  <c r="AX53" i="3"/>
  <c r="AY53" i="3" s="1"/>
  <c r="AZ53" i="3" s="1"/>
  <c r="AX26" i="3"/>
  <c r="AY26" i="3" s="1"/>
  <c r="AZ26" i="3" s="1"/>
  <c r="BN45" i="3"/>
  <c r="BO45" i="3" s="1"/>
  <c r="BP45" i="3" s="1"/>
  <c r="BN54" i="3"/>
  <c r="BF42" i="3"/>
  <c r="BG42" i="3" s="1"/>
  <c r="BH42" i="3" s="1"/>
  <c r="BN72" i="3"/>
  <c r="BO72" i="3" s="1"/>
  <c r="BP72" i="3" s="1"/>
  <c r="AX59" i="3"/>
  <c r="AY59" i="3" s="1"/>
  <c r="AZ59" i="3" s="1"/>
  <c r="BN11" i="3"/>
  <c r="BN15" i="3"/>
  <c r="BF9" i="3"/>
  <c r="BG9" i="3" s="1"/>
  <c r="BH9" i="3" s="1"/>
  <c r="BN49" i="3"/>
  <c r="AP59" i="3"/>
  <c r="AQ59" i="3" s="1"/>
  <c r="AR59" i="3" s="1"/>
  <c r="AP18" i="3"/>
  <c r="AQ18" i="3" s="1"/>
  <c r="AR18" i="3" s="1"/>
  <c r="AP40" i="3"/>
  <c r="AQ40" i="3" s="1"/>
  <c r="AR40" i="3" s="1"/>
  <c r="AH39" i="3"/>
  <c r="AI39" i="3" s="1"/>
  <c r="AJ39" i="3" s="1"/>
  <c r="AX64" i="3"/>
  <c r="AY64" i="3" s="1"/>
  <c r="AZ64" i="3" s="1"/>
  <c r="BN48" i="3"/>
  <c r="AH58" i="3"/>
  <c r="AI58" i="3" s="1"/>
  <c r="AJ58" i="3" s="1"/>
  <c r="BF39" i="3"/>
  <c r="BG39" i="3" s="1"/>
  <c r="BH39" i="3" s="1"/>
  <c r="AX67" i="3"/>
  <c r="AY67" i="3" s="1"/>
  <c r="AZ67" i="3" s="1"/>
  <c r="BN22" i="3"/>
  <c r="BN31" i="3"/>
  <c r="AX31" i="3"/>
  <c r="AY31" i="3" s="1"/>
  <c r="AZ31" i="3" s="1"/>
  <c r="AH71" i="3"/>
  <c r="AI71" i="3" s="1"/>
  <c r="AJ71" i="3" s="1"/>
  <c r="AX38" i="3"/>
  <c r="AY38" i="3" s="1"/>
  <c r="AZ38" i="3" s="1"/>
  <c r="BF46" i="3"/>
  <c r="BG46" i="3" s="1"/>
  <c r="BH46" i="3" s="1"/>
  <c r="AH8" i="3"/>
  <c r="AI8" i="3" s="1"/>
  <c r="AJ8" i="3" s="1"/>
  <c r="AX65" i="3"/>
  <c r="AY65" i="3" s="1"/>
  <c r="AZ65" i="3" s="1"/>
  <c r="BF10" i="3"/>
  <c r="BG10" i="3" s="1"/>
  <c r="BH10" i="3" s="1"/>
  <c r="AX57" i="3"/>
  <c r="AY57" i="3" s="1"/>
  <c r="AZ57" i="3" s="1"/>
  <c r="AX56" i="3"/>
  <c r="AY56" i="3" s="1"/>
  <c r="AZ56" i="3" s="1"/>
  <c r="AX62" i="3"/>
  <c r="AY62" i="3" s="1"/>
  <c r="AZ62" i="3" s="1"/>
  <c r="AX70" i="3"/>
  <c r="AY70" i="3" s="1"/>
  <c r="AZ70" i="3" s="1"/>
  <c r="BF12" i="3"/>
  <c r="BG12" i="3" s="1"/>
  <c r="BH12" i="3" s="1"/>
  <c r="BF66" i="3"/>
  <c r="BG66" i="3" s="1"/>
  <c r="BH66" i="3" s="1"/>
  <c r="BF72" i="3"/>
  <c r="BG72" i="3" s="1"/>
  <c r="BH72" i="3" s="1"/>
  <c r="BN64" i="3"/>
  <c r="AP26" i="3"/>
  <c r="AQ26" i="3" s="1"/>
  <c r="AR26" i="3" s="1"/>
  <c r="AP23" i="3"/>
  <c r="AQ23" i="3" s="1"/>
  <c r="AR23" i="3" s="1"/>
  <c r="AP42" i="3"/>
  <c r="AQ42" i="3" s="1"/>
  <c r="AR42" i="3" s="1"/>
  <c r="AP16" i="3"/>
  <c r="AQ16" i="3" s="1"/>
  <c r="AR16" i="3" s="1"/>
  <c r="AP37" i="3"/>
  <c r="AQ37" i="3" s="1"/>
  <c r="AR37" i="3" s="1"/>
  <c r="AP9" i="3"/>
  <c r="AQ9" i="3" s="1"/>
  <c r="AR9" i="3" s="1"/>
  <c r="AP52" i="3"/>
  <c r="AQ52" i="3" s="1"/>
  <c r="AR52" i="3" s="1"/>
  <c r="AX41" i="3"/>
  <c r="AY41" i="3" s="1"/>
  <c r="AZ41" i="3" s="1"/>
  <c r="BF22" i="3"/>
  <c r="BG22" i="3" s="1"/>
  <c r="BH22" i="3" s="1"/>
  <c r="AH40" i="3"/>
  <c r="AI40" i="3" s="1"/>
  <c r="AJ40" i="3" s="1"/>
  <c r="AX69" i="3"/>
  <c r="AY69" i="3" s="1"/>
  <c r="AZ69" i="3" s="1"/>
  <c r="AH72" i="3"/>
  <c r="AI72" i="3" s="1"/>
  <c r="AJ72" i="3" s="1"/>
  <c r="AH54" i="3"/>
  <c r="AI54" i="3" s="1"/>
  <c r="AJ54" i="3" s="1"/>
  <c r="AX24" i="3"/>
  <c r="AY24" i="3" s="1"/>
  <c r="AZ24" i="3" s="1"/>
  <c r="AH17" i="3"/>
  <c r="AI17" i="3" s="1"/>
  <c r="AJ17" i="3" s="1"/>
  <c r="BF29" i="3"/>
  <c r="BG29" i="3" s="1"/>
  <c r="BH29" i="3" s="1"/>
  <c r="AH31" i="3"/>
  <c r="AI31" i="3" s="1"/>
  <c r="AJ31" i="3" s="1"/>
  <c r="AX49" i="3"/>
  <c r="AY49" i="3" s="1"/>
  <c r="AZ49" i="3" s="1"/>
  <c r="BN57" i="3"/>
  <c r="BN43" i="3"/>
  <c r="BO43" i="3" s="1"/>
  <c r="BP43" i="3" s="1"/>
  <c r="AX29" i="3"/>
  <c r="AY29" i="3" s="1"/>
  <c r="AZ29" i="3" s="1"/>
  <c r="BN53" i="3"/>
  <c r="BF61" i="3"/>
  <c r="BG61" i="3" s="1"/>
  <c r="BH61" i="3" s="1"/>
  <c r="BF20" i="3"/>
  <c r="BG20" i="3" s="1"/>
  <c r="BH20" i="3" s="1"/>
  <c r="AX17" i="3"/>
  <c r="AY17" i="3" s="1"/>
  <c r="AZ17" i="3" s="1"/>
  <c r="BN9" i="3"/>
  <c r="AX61" i="3"/>
  <c r="AY61" i="3" s="1"/>
  <c r="AZ61" i="3" s="1"/>
  <c r="BN12" i="3"/>
  <c r="AP22" i="3"/>
  <c r="AQ22" i="3" s="1"/>
  <c r="AR22" i="3" s="1"/>
  <c r="AP57" i="3"/>
  <c r="AP72" i="3"/>
  <c r="AQ72" i="3" s="1"/>
  <c r="AR72" i="3" s="1"/>
  <c r="AP49" i="3"/>
  <c r="AQ49" i="3" s="1"/>
  <c r="AR49" i="3" s="1"/>
  <c r="AP24" i="3"/>
  <c r="AQ24" i="3" s="1"/>
  <c r="AR24" i="3" s="1"/>
  <c r="BN69" i="3"/>
  <c r="AH49" i="3"/>
  <c r="AI49" i="3" s="1"/>
  <c r="AJ49" i="3" s="1"/>
  <c r="BF31" i="3"/>
  <c r="BG31" i="3" s="1"/>
  <c r="BH31" i="3" s="1"/>
  <c r="AH18" i="3"/>
  <c r="AI18" i="3" s="1"/>
  <c r="AJ18" i="3" s="1"/>
  <c r="AX30" i="3"/>
  <c r="BF47" i="3"/>
  <c r="BG47" i="3" s="1"/>
  <c r="BH47" i="3" s="1"/>
  <c r="BN28" i="3"/>
  <c r="AH51" i="3"/>
  <c r="AI51" i="3" s="1"/>
  <c r="AJ51" i="3" s="1"/>
  <c r="BF27" i="3"/>
  <c r="BG27" i="3" s="1"/>
  <c r="BH27" i="3" s="1"/>
  <c r="AH56" i="3"/>
  <c r="AI56" i="3" s="1"/>
  <c r="AJ56" i="3" s="1"/>
  <c r="BF70" i="3"/>
  <c r="BG70" i="3" s="1"/>
  <c r="BH70" i="3" s="1"/>
  <c r="BF49" i="3"/>
  <c r="BG49" i="3" s="1"/>
  <c r="BH49" i="3" s="1"/>
  <c r="AX52" i="3"/>
  <c r="AY52" i="3" s="1"/>
  <c r="AZ52" i="3" s="1"/>
  <c r="BF43" i="3"/>
  <c r="BG43" i="3" s="1"/>
  <c r="BH43" i="3" s="1"/>
  <c r="BN73" i="3"/>
  <c r="BO73" i="3" s="1"/>
  <c r="BP73" i="3" s="1"/>
  <c r="AX60" i="3"/>
  <c r="AY60" i="3" s="1"/>
  <c r="AZ60" i="3" s="1"/>
  <c r="AX8" i="3"/>
  <c r="AY8" i="3" s="1"/>
  <c r="AZ8" i="3" s="1"/>
  <c r="BF64" i="3"/>
  <c r="BG64" i="3" s="1"/>
  <c r="BH64" i="3" s="1"/>
  <c r="AX73" i="3"/>
  <c r="AY73" i="3" s="1"/>
  <c r="AZ73" i="3" s="1"/>
  <c r="BF11" i="3"/>
  <c r="BG11" i="3" s="1"/>
  <c r="BH11" i="3" s="1"/>
  <c r="BN61" i="3"/>
  <c r="AP64" i="3"/>
  <c r="AQ64" i="3" s="1"/>
  <c r="AR64" i="3" s="1"/>
  <c r="AP41" i="3"/>
  <c r="AQ41" i="3" s="1"/>
  <c r="AR41" i="3" s="1"/>
  <c r="AP31" i="3"/>
  <c r="AQ31" i="3" s="1"/>
  <c r="AR31" i="3" s="1"/>
  <c r="AP60" i="3"/>
  <c r="AQ60" i="3" s="1"/>
  <c r="AR60" i="3" s="1"/>
  <c r="AP65" i="3"/>
  <c r="AQ65" i="3" s="1"/>
  <c r="AR65" i="3" s="1"/>
  <c r="AP70" i="3"/>
  <c r="AQ70" i="3" s="1"/>
  <c r="AR70" i="3" s="1"/>
  <c r="BF56" i="3"/>
  <c r="BG56" i="3" s="1"/>
  <c r="BH56" i="3" s="1"/>
  <c r="BN34" i="3"/>
  <c r="AH29" i="3"/>
  <c r="AI29" i="3" s="1"/>
  <c r="AJ29" i="3" s="1"/>
  <c r="BN23" i="3"/>
  <c r="AH53" i="3"/>
  <c r="AI53" i="3" s="1"/>
  <c r="AJ53" i="3" s="1"/>
  <c r="BF24" i="3"/>
  <c r="BG24" i="3" s="1"/>
  <c r="BH24" i="3" s="1"/>
  <c r="AH52" i="3"/>
  <c r="AI52" i="3" s="1"/>
  <c r="AJ52" i="3" s="1"/>
  <c r="AX55" i="3"/>
  <c r="AY55" i="3" s="1"/>
  <c r="AZ55" i="3" s="1"/>
  <c r="AH38" i="3"/>
  <c r="AI38" i="3" s="1"/>
  <c r="AJ38" i="3" s="1"/>
  <c r="AX37" i="3"/>
  <c r="AY37" i="3" s="1"/>
  <c r="AZ37" i="3" s="1"/>
  <c r="BN24" i="3"/>
  <c r="AH24" i="3"/>
  <c r="AI24" i="3" s="1"/>
  <c r="AJ24" i="3" s="1"/>
  <c r="AX72" i="3"/>
  <c r="AY72" i="3" s="1"/>
  <c r="AZ72" i="3" s="1"/>
  <c r="BF73" i="3"/>
  <c r="BG73" i="3" s="1"/>
  <c r="BH73" i="3" s="1"/>
  <c r="BN20" i="3"/>
  <c r="AP66" i="3"/>
  <c r="AQ66" i="3" s="1"/>
  <c r="AR66" i="3" s="1"/>
  <c r="AP34" i="3"/>
  <c r="AQ34" i="3" s="1"/>
  <c r="AR34" i="3" s="1"/>
  <c r="AP51" i="3"/>
  <c r="AQ51" i="3" s="1"/>
  <c r="AR51" i="3" s="1"/>
  <c r="AP32" i="3"/>
  <c r="AQ32" i="3" s="1"/>
  <c r="AR32" i="3" s="1"/>
  <c r="AP10" i="3"/>
  <c r="AQ10" i="3" s="1"/>
  <c r="AR10" i="3" s="1"/>
  <c r="AX23" i="3"/>
  <c r="AY23" i="3" s="1"/>
  <c r="AZ23" i="3" s="1"/>
  <c r="AX39" i="3"/>
  <c r="AY39" i="3" s="1"/>
  <c r="AZ39" i="3" s="1"/>
  <c r="AH15" i="3"/>
  <c r="AI15" i="3" s="1"/>
  <c r="AJ15" i="3" s="1"/>
  <c r="BF40" i="3"/>
  <c r="BG40" i="3" s="1"/>
  <c r="BH40" i="3" s="1"/>
  <c r="AH70" i="3"/>
  <c r="AI70" i="3" s="1"/>
  <c r="AJ70" i="3" s="1"/>
  <c r="BF30" i="3"/>
  <c r="BG30" i="3" s="1"/>
  <c r="BH30" i="3" s="1"/>
  <c r="AH30" i="3"/>
  <c r="AI30" i="3" s="1"/>
  <c r="AJ30" i="3" s="1"/>
  <c r="BF21" i="3"/>
  <c r="BG21" i="3" s="1"/>
  <c r="BH21" i="3" s="1"/>
  <c r="BN58" i="3"/>
  <c r="AH69" i="3"/>
  <c r="AI69" i="3" s="1"/>
  <c r="AJ69" i="3" s="1"/>
  <c r="AX22" i="3"/>
  <c r="BN29" i="3"/>
  <c r="AH68" i="3"/>
  <c r="AI68" i="3" s="1"/>
  <c r="AJ68" i="3" s="1"/>
  <c r="AH41" i="3"/>
  <c r="AI41" i="3" s="1"/>
  <c r="AJ41" i="3" s="1"/>
  <c r="BF69" i="3"/>
  <c r="BG69" i="3" s="1"/>
  <c r="BH69" i="3" s="1"/>
  <c r="AH59" i="3"/>
  <c r="AI59" i="3" s="1"/>
  <c r="AJ59" i="3" s="1"/>
  <c r="BN44" i="3"/>
  <c r="BO44" i="3" s="1"/>
  <c r="BP44" i="3" s="1"/>
  <c r="BF63" i="3"/>
  <c r="BG63" i="3" s="1"/>
  <c r="BH63" i="3" s="1"/>
  <c r="BF41" i="3"/>
  <c r="BG41" i="3" s="1"/>
  <c r="BH41" i="3" s="1"/>
  <c r="BN65" i="3"/>
  <c r="AX51" i="3"/>
  <c r="AY51" i="3" s="1"/>
  <c r="AZ51" i="3" s="1"/>
  <c r="BN10" i="3"/>
  <c r="AX54" i="3"/>
  <c r="AY54" i="3" s="1"/>
  <c r="AZ54" i="3" s="1"/>
  <c r="AX18" i="3"/>
  <c r="AY18" i="3" s="1"/>
  <c r="AZ18" i="3" s="1"/>
  <c r="BF8" i="3"/>
  <c r="BG8" i="3" s="1"/>
  <c r="BH8" i="3" s="1"/>
  <c r="BN52" i="3"/>
  <c r="AP68" i="3"/>
  <c r="AQ68" i="3" s="1"/>
  <c r="AR68" i="3" s="1"/>
  <c r="AP14" i="3"/>
  <c r="AQ14" i="3" s="1"/>
  <c r="AR14" i="3" s="1"/>
  <c r="AP58" i="3"/>
  <c r="AQ58" i="3" s="1"/>
  <c r="AR58" i="3" s="1"/>
  <c r="AP39" i="3"/>
  <c r="AQ39" i="3" s="1"/>
  <c r="AR39" i="3" s="1"/>
  <c r="AP38" i="3"/>
  <c r="AQ38" i="3" s="1"/>
  <c r="AR38" i="3" s="1"/>
  <c r="AP73" i="3"/>
  <c r="AQ73" i="3" s="1"/>
  <c r="AR73" i="3" s="1"/>
  <c r="Z49" i="3"/>
  <c r="AA49" i="3" s="1"/>
  <c r="AB49" i="3" s="1"/>
  <c r="AH9" i="3"/>
  <c r="AI9" i="3" s="1"/>
  <c r="AJ9" i="3" s="1"/>
  <c r="AX35" i="3"/>
  <c r="AY35" i="3" s="1"/>
  <c r="AZ35" i="3" s="1"/>
  <c r="BN68" i="3"/>
  <c r="AH34" i="3"/>
  <c r="AI34" i="3" s="1"/>
  <c r="AJ34" i="3" s="1"/>
  <c r="AX34" i="3"/>
  <c r="BN39" i="3"/>
  <c r="BN27" i="3"/>
  <c r="AH16" i="3"/>
  <c r="AI16" i="3" s="1"/>
  <c r="AJ16" i="3" s="1"/>
  <c r="AX68" i="3"/>
  <c r="AY68" i="3" s="1"/>
  <c r="AZ68" i="3" s="1"/>
  <c r="AH32" i="3"/>
  <c r="AI32" i="3" s="1"/>
  <c r="AJ32" i="3" s="1"/>
  <c r="BF59" i="3"/>
  <c r="BG59" i="3" s="1"/>
  <c r="BH59" i="3" s="1"/>
  <c r="BN55" i="3"/>
  <c r="AH22" i="3"/>
  <c r="AI22" i="3" s="1"/>
  <c r="AJ22" i="3" s="1"/>
  <c r="AX32" i="3"/>
  <c r="AY32" i="3" s="1"/>
  <c r="AZ32" i="3" s="1"/>
  <c r="BF68" i="3"/>
  <c r="BG68" i="3" s="1"/>
  <c r="BH68" i="3" s="1"/>
  <c r="AH60" i="3"/>
  <c r="AI60" i="3" s="1"/>
  <c r="AJ60" i="3" s="1"/>
  <c r="AX11" i="3"/>
  <c r="AY11" i="3" s="1"/>
  <c r="AZ11" i="3" s="1"/>
  <c r="BN63" i="3"/>
  <c r="BF15" i="3"/>
  <c r="BG15" i="3" s="1"/>
  <c r="BH15" i="3" s="1"/>
  <c r="BN41" i="3"/>
  <c r="BO41" i="3" s="1"/>
  <c r="BP41" i="3" s="1"/>
  <c r="BF45" i="3"/>
  <c r="BG45" i="3" s="1"/>
  <c r="BH45" i="3" s="1"/>
  <c r="BF65" i="3"/>
  <c r="BG65" i="3" s="1"/>
  <c r="BH65" i="3" s="1"/>
  <c r="AX15" i="3"/>
  <c r="AY15" i="3" s="1"/>
  <c r="AZ15" i="3" s="1"/>
  <c r="BN62" i="3"/>
  <c r="AP69" i="3"/>
  <c r="AQ69" i="3" s="1"/>
  <c r="AR69" i="3" s="1"/>
  <c r="AP8" i="3"/>
  <c r="AP53" i="3"/>
  <c r="AQ53" i="3" s="1"/>
  <c r="AR53" i="3" s="1"/>
  <c r="Z58" i="3"/>
  <c r="AA58" i="3" s="1"/>
  <c r="AB58" i="3" s="1"/>
  <c r="Z29" i="3"/>
  <c r="AA29" i="3" s="1"/>
  <c r="AB29" i="3" s="1"/>
  <c r="Z24" i="3"/>
  <c r="AA24" i="3" s="1"/>
  <c r="AB24" i="3" s="1"/>
  <c r="Z65" i="3"/>
  <c r="AA65" i="3" s="1"/>
  <c r="AB65" i="3" s="1"/>
  <c r="Z37" i="3"/>
  <c r="AA37" i="3" s="1"/>
  <c r="AB37" i="3" s="1"/>
  <c r="Z11" i="3"/>
  <c r="AA11" i="3" s="1"/>
  <c r="AB11" i="3" s="1"/>
  <c r="Z15" i="3"/>
  <c r="AA15" i="3" s="1"/>
  <c r="AB15" i="3" s="1"/>
  <c r="Z45" i="3"/>
  <c r="AA45" i="3" s="1"/>
  <c r="AB45" i="3" s="1"/>
  <c r="Z16" i="3"/>
  <c r="AA16" i="3" s="1"/>
  <c r="AB16" i="3" s="1"/>
  <c r="Z14" i="3"/>
  <c r="AA14" i="3" s="1"/>
  <c r="AB14" i="3" s="1"/>
  <c r="Z53" i="3"/>
  <c r="AA53" i="3" s="1"/>
  <c r="AB53" i="3" s="1"/>
  <c r="Z63" i="3"/>
  <c r="AA63" i="3" s="1"/>
  <c r="AB63" i="3" s="1"/>
  <c r="Z39" i="3"/>
  <c r="AA39" i="3" s="1"/>
  <c r="AB39" i="3" s="1"/>
  <c r="Z56" i="3"/>
  <c r="AA56" i="3" s="1"/>
  <c r="AB56" i="3" s="1"/>
  <c r="Z10" i="3"/>
  <c r="AA10" i="3" s="1"/>
  <c r="AB10" i="3" s="1"/>
  <c r="Z51" i="3"/>
  <c r="AA51" i="3" s="1"/>
  <c r="AB51" i="3" s="1"/>
  <c r="Z64" i="3"/>
  <c r="AA64" i="3" s="1"/>
  <c r="AB64" i="3" s="1"/>
  <c r="Z42" i="3"/>
  <c r="AA42" i="3" s="1"/>
  <c r="AB42" i="3" s="1"/>
  <c r="Z34" i="3"/>
  <c r="AA34" i="3" s="1"/>
  <c r="AB34" i="3" s="1"/>
  <c r="Z31" i="3"/>
  <c r="AA31" i="3" s="1"/>
  <c r="AB31" i="3" s="1"/>
  <c r="Z52" i="3"/>
  <c r="AA52" i="3" s="1"/>
  <c r="AB52" i="3" s="1"/>
  <c r="Z23" i="3"/>
  <c r="AA23" i="3" s="1"/>
  <c r="AB23" i="3" s="1"/>
  <c r="Z26" i="3"/>
  <c r="AA26" i="3" s="1"/>
  <c r="AB26" i="3" s="1"/>
  <c r="Z66" i="3"/>
  <c r="AA66" i="3" s="1"/>
  <c r="AB66" i="3" s="1"/>
  <c r="Z59" i="3"/>
  <c r="AA59" i="3" s="1"/>
  <c r="AB59" i="3" s="1"/>
  <c r="Z60" i="3"/>
  <c r="AA60" i="3" s="1"/>
  <c r="AB60" i="3" s="1"/>
  <c r="Z70" i="3"/>
  <c r="AA70" i="3" s="1"/>
  <c r="AB70" i="3" s="1"/>
  <c r="Z35" i="3"/>
  <c r="AA35" i="3" s="1"/>
  <c r="AB35" i="3" s="1"/>
  <c r="Z8" i="3"/>
  <c r="AA8" i="3" s="1"/>
  <c r="AB8" i="3" s="1"/>
  <c r="Z41" i="3"/>
  <c r="AA41" i="3" s="1"/>
  <c r="AB41" i="3" s="1"/>
  <c r="Z54" i="3"/>
  <c r="AA54" i="3" s="1"/>
  <c r="Z32" i="3"/>
  <c r="AA32" i="3" s="1"/>
  <c r="AB32" i="3" s="1"/>
  <c r="Z22" i="3"/>
  <c r="AA22" i="3" s="1"/>
  <c r="AB22" i="3" s="1"/>
  <c r="Z17" i="3"/>
  <c r="AA17" i="3" s="1"/>
  <c r="AB17" i="3" s="1"/>
  <c r="Z18" i="3"/>
  <c r="AA18" i="3" s="1"/>
  <c r="AB18" i="3" s="1"/>
  <c r="Z72" i="3"/>
  <c r="AA72" i="3" s="1"/>
  <c r="AB72" i="3" s="1"/>
  <c r="Z68" i="3"/>
  <c r="AA68" i="3" s="1"/>
  <c r="AB68" i="3" s="1"/>
  <c r="Z55" i="3"/>
  <c r="AA55" i="3" s="1"/>
  <c r="AB55" i="3" s="1"/>
  <c r="Z62" i="3"/>
  <c r="AA62" i="3" s="1"/>
  <c r="AB62" i="3" s="1"/>
  <c r="Z61" i="3"/>
  <c r="AA61" i="3" s="1"/>
  <c r="AB61" i="3" s="1"/>
  <c r="Z30" i="3"/>
  <c r="AA30" i="3" s="1"/>
  <c r="Z38" i="3"/>
  <c r="AA38" i="3" s="1"/>
  <c r="AB38" i="3" s="1"/>
  <c r="Z57" i="3"/>
  <c r="AA57" i="3" s="1"/>
  <c r="AB57" i="3" s="1"/>
  <c r="Z71" i="3"/>
  <c r="AA71" i="3" s="1"/>
  <c r="AB71" i="3" s="1"/>
  <c r="Z69" i="3"/>
  <c r="AA69" i="3" s="1"/>
  <c r="AB69" i="3" s="1"/>
  <c r="Z73" i="3"/>
  <c r="AA73" i="3" s="1"/>
  <c r="AB73" i="3" s="1"/>
  <c r="Z40" i="3"/>
  <c r="AA40" i="3" s="1"/>
  <c r="AB40" i="3" s="1"/>
  <c r="Z9" i="3"/>
  <c r="AA9" i="3" s="1"/>
  <c r="AB9" i="3" s="1"/>
  <c r="Z67" i="3"/>
  <c r="AA67" i="3" s="1"/>
  <c r="AB67" i="3" s="1"/>
  <c r="BJ103" i="3"/>
  <c r="BJ93" i="3"/>
  <c r="BJ97" i="3"/>
  <c r="BB105" i="3"/>
  <c r="BJ112" i="3"/>
  <c r="BJ85" i="3"/>
  <c r="BJ78" i="3"/>
  <c r="BB91" i="3"/>
  <c r="BJ87" i="3"/>
  <c r="BJ109" i="3"/>
  <c r="BJ91" i="3"/>
  <c r="BJ113" i="3"/>
  <c r="BJ95" i="3"/>
  <c r="BJ110" i="3"/>
  <c r="BJ106" i="3"/>
  <c r="BJ105" i="3"/>
  <c r="BJ107" i="3"/>
  <c r="BJ88" i="3"/>
  <c r="AT95" i="3"/>
  <c r="BB110" i="3"/>
  <c r="BB107" i="3"/>
  <c r="BJ101" i="3"/>
  <c r="BJ108" i="3"/>
  <c r="BJ104" i="3"/>
  <c r="BJ98" i="3"/>
  <c r="BJ96" i="3"/>
  <c r="BJ100" i="3"/>
  <c r="BJ90" i="3"/>
  <c r="BJ94" i="3"/>
  <c r="BJ89" i="3"/>
  <c r="BJ102" i="3"/>
  <c r="BJ111" i="3"/>
  <c r="BJ99" i="3"/>
  <c r="BJ92" i="3"/>
  <c r="BB85" i="3"/>
  <c r="BB78" i="3"/>
  <c r="BB93" i="3"/>
  <c r="BB89" i="3"/>
  <c r="BB97" i="3"/>
  <c r="BB102" i="3"/>
  <c r="BB112" i="3"/>
  <c r="BB106" i="3"/>
  <c r="BB86" i="3"/>
  <c r="BB92" i="3"/>
  <c r="BB100" i="3"/>
  <c r="BB96" i="3"/>
  <c r="BB94" i="3"/>
  <c r="BB101" i="3"/>
  <c r="BB104" i="3"/>
  <c r="AT99" i="3"/>
  <c r="BB113" i="3"/>
  <c r="BB90" i="3"/>
  <c r="BB111" i="3"/>
  <c r="BB87" i="3"/>
  <c r="BB98" i="3"/>
  <c r="BB108" i="3"/>
  <c r="BB103" i="3"/>
  <c r="BB88" i="3"/>
  <c r="BB95" i="3"/>
  <c r="BB109" i="3"/>
  <c r="BB99" i="3"/>
  <c r="AL105" i="3"/>
  <c r="AL89" i="3"/>
  <c r="AT98" i="3"/>
  <c r="AT109" i="3"/>
  <c r="AT78" i="3"/>
  <c r="AT85" i="3"/>
  <c r="AT97" i="3"/>
  <c r="AT88" i="3"/>
  <c r="AT106" i="3"/>
  <c r="AT89" i="3"/>
  <c r="AT100" i="3"/>
  <c r="AT96" i="3"/>
  <c r="AT112" i="3"/>
  <c r="AT101" i="3"/>
  <c r="AT103" i="3"/>
  <c r="AT102" i="3"/>
  <c r="AT105" i="3"/>
  <c r="AT87" i="3"/>
  <c r="AT107" i="3"/>
  <c r="AT111" i="3"/>
  <c r="AT94" i="3"/>
  <c r="AT110" i="3"/>
  <c r="AT92" i="3"/>
  <c r="AT91" i="3"/>
  <c r="AT93" i="3"/>
  <c r="AT108" i="3"/>
  <c r="AT104" i="3"/>
  <c r="AT86" i="3"/>
  <c r="AT113" i="3"/>
  <c r="AL92" i="3"/>
  <c r="V110" i="3"/>
  <c r="V111" i="3"/>
  <c r="V90" i="3"/>
  <c r="AD104" i="3"/>
  <c r="AL104" i="3"/>
  <c r="AL95" i="3"/>
  <c r="AL109" i="3"/>
  <c r="AL93" i="3"/>
  <c r="AL112" i="3"/>
  <c r="AL101" i="3"/>
  <c r="AL98" i="3"/>
  <c r="AL97" i="3"/>
  <c r="AL107" i="3"/>
  <c r="AL103" i="3"/>
  <c r="AL96" i="3"/>
  <c r="AL106" i="3"/>
  <c r="AL102" i="3"/>
  <c r="AL88" i="3"/>
  <c r="AD92" i="3"/>
  <c r="AD111" i="3"/>
  <c r="AL100" i="3"/>
  <c r="AL113" i="3"/>
  <c r="AL85" i="3"/>
  <c r="AL78" i="3"/>
  <c r="AL91" i="3"/>
  <c r="AD95" i="3"/>
  <c r="AL110" i="3"/>
  <c r="AL108" i="3"/>
  <c r="AL99" i="3"/>
  <c r="AL86" i="3"/>
  <c r="AL94" i="3"/>
  <c r="AL111" i="3"/>
  <c r="AL87" i="3"/>
  <c r="AD103" i="3"/>
  <c r="AD101" i="3"/>
  <c r="AD108" i="3"/>
  <c r="AD109" i="3"/>
  <c r="AD100" i="3"/>
  <c r="AD107" i="3"/>
  <c r="AD87" i="3"/>
  <c r="AD96" i="3"/>
  <c r="AD97" i="3"/>
  <c r="AD88" i="3"/>
  <c r="AD93" i="3"/>
  <c r="AD105" i="3"/>
  <c r="AD94" i="3"/>
  <c r="AD89" i="3"/>
  <c r="AD110" i="3"/>
  <c r="AD86" i="3"/>
  <c r="AD112" i="3"/>
  <c r="AD113" i="3"/>
  <c r="AD98" i="3"/>
  <c r="AD99" i="3"/>
  <c r="AD106" i="3"/>
  <c r="AD91" i="3"/>
  <c r="AD85" i="3"/>
  <c r="AD78" i="3"/>
  <c r="AD102" i="3"/>
  <c r="V104" i="3"/>
  <c r="V99" i="3"/>
  <c r="V88" i="3"/>
  <c r="V92" i="3"/>
  <c r="V107" i="3"/>
  <c r="V102" i="3"/>
  <c r="V100" i="3"/>
  <c r="V93" i="3"/>
  <c r="V113" i="3"/>
  <c r="V98" i="3"/>
  <c r="V94" i="3"/>
  <c r="V103" i="3"/>
  <c r="V87" i="3"/>
  <c r="V95" i="3"/>
  <c r="V96" i="3"/>
  <c r="V112" i="3"/>
  <c r="V108" i="3"/>
  <c r="V86" i="3"/>
  <c r="V106" i="3"/>
  <c r="V85" i="3"/>
  <c r="V78" i="3"/>
  <c r="V91" i="3"/>
  <c r="V89" i="3"/>
  <c r="V109" i="3"/>
  <c r="V101" i="3"/>
  <c r="V105" i="3"/>
  <c r="V97" i="3"/>
  <c r="BK78" i="3"/>
  <c r="AM78" i="3"/>
  <c r="AU78" i="3"/>
  <c r="BM78" i="3"/>
  <c r="AC78" i="3"/>
  <c r="BD78" i="3"/>
  <c r="BL78" i="3"/>
  <c r="AN78" i="3"/>
  <c r="AS78" i="3"/>
  <c r="BA78" i="3"/>
  <c r="AF78" i="3"/>
  <c r="AV78" i="3"/>
  <c r="X78" i="3"/>
  <c r="BE78" i="3"/>
  <c r="AG78" i="3"/>
  <c r="BI78" i="3"/>
  <c r="U78" i="3"/>
  <c r="BC78" i="3"/>
  <c r="AK78" i="3"/>
  <c r="AO78" i="3"/>
  <c r="W78" i="3"/>
  <c r="Y78" i="3"/>
  <c r="AE78" i="3"/>
  <c r="AW78" i="3"/>
  <c r="Z33" i="3"/>
  <c r="AA33" i="3" s="1"/>
  <c r="T121" i="3"/>
  <c r="R121" i="3"/>
  <c r="P121" i="3"/>
  <c r="AV21" i="79"/>
  <c r="AV19" i="79"/>
  <c r="AV20" i="79"/>
  <c r="AV14" i="79"/>
  <c r="AU23" i="79"/>
  <c r="AS23" i="79"/>
  <c r="AR23" i="79"/>
  <c r="AT23" i="79"/>
  <c r="AV16" i="79"/>
  <c r="AV17" i="79"/>
  <c r="AV15" i="79"/>
  <c r="AV38" i="79"/>
  <c r="AV45" i="79"/>
  <c r="AS29" i="79"/>
  <c r="AS32" i="79" s="1"/>
  <c r="AT29" i="79"/>
  <c r="AT32" i="79" s="1"/>
  <c r="AU29" i="79"/>
  <c r="AU32" i="79" s="1"/>
  <c r="AR29" i="79"/>
  <c r="AR32" i="79" s="1"/>
  <c r="BX60" i="3" l="1"/>
  <c r="BW60" i="3"/>
  <c r="BV60" i="3"/>
  <c r="BX50" i="3"/>
  <c r="BO19" i="3"/>
  <c r="BP19" i="3" s="1"/>
  <c r="BO67" i="3"/>
  <c r="BP67" i="3" s="1"/>
  <c r="AY21" i="3"/>
  <c r="AZ21" i="3" s="1"/>
  <c r="AY27" i="3"/>
  <c r="AZ27" i="3" s="1"/>
  <c r="BO20" i="3"/>
  <c r="BP20" i="3" s="1"/>
  <c r="AY34" i="3"/>
  <c r="AZ34" i="3" s="1"/>
  <c r="AY30" i="3"/>
  <c r="AZ30" i="3" s="1"/>
  <c r="AY22" i="3"/>
  <c r="AZ22" i="3" s="1"/>
  <c r="BO13" i="3"/>
  <c r="BP13" i="3" s="1"/>
  <c r="BO50" i="3"/>
  <c r="BP50" i="3" s="1"/>
  <c r="BV50" i="3"/>
  <c r="BO70" i="3"/>
  <c r="BP70" i="3" s="1"/>
  <c r="BY60" i="3"/>
  <c r="BO68" i="3"/>
  <c r="BP68" i="3" s="1"/>
  <c r="BO71" i="3"/>
  <c r="BP71" i="3" s="1"/>
  <c r="BX52" i="3"/>
  <c r="BO65" i="3"/>
  <c r="BP65" i="3" s="1"/>
  <c r="BO17" i="3"/>
  <c r="BP17" i="3" s="1"/>
  <c r="BO36" i="3"/>
  <c r="BP36" i="3" s="1"/>
  <c r="BO9" i="3"/>
  <c r="BP9" i="3" s="1"/>
  <c r="BO33" i="3"/>
  <c r="BP33" i="3" s="1"/>
  <c r="BO37" i="3"/>
  <c r="BP37" i="3" s="1"/>
  <c r="BO14" i="3"/>
  <c r="BP14" i="3" s="1"/>
  <c r="BO11" i="3"/>
  <c r="BP11" i="3" s="1"/>
  <c r="BO12" i="3"/>
  <c r="BP12" i="3" s="1"/>
  <c r="BO32" i="3"/>
  <c r="BP32" i="3" s="1"/>
  <c r="BO40" i="3"/>
  <c r="BP40" i="3" s="1"/>
  <c r="BO25" i="3"/>
  <c r="BP25" i="3" s="1"/>
  <c r="BO22" i="3"/>
  <c r="BP22" i="3" s="1"/>
  <c r="BY51" i="3"/>
  <c r="BO62" i="3"/>
  <c r="BP62" i="3" s="1"/>
  <c r="BY62" i="3"/>
  <c r="BW59" i="3"/>
  <c r="BO60" i="3"/>
  <c r="BP60" i="3" s="1"/>
  <c r="BO55" i="3"/>
  <c r="BP55" i="3" s="1"/>
  <c r="BX55" i="3"/>
  <c r="BX63" i="3"/>
  <c r="BV58" i="3"/>
  <c r="BO69" i="3"/>
  <c r="BP69" i="3" s="1"/>
  <c r="BV51" i="3"/>
  <c r="BO47" i="3"/>
  <c r="BP47" i="3" s="1"/>
  <c r="BO18" i="3"/>
  <c r="BP18" i="3" s="1"/>
  <c r="BO46" i="3"/>
  <c r="BP46" i="3" s="1"/>
  <c r="BO21" i="3"/>
  <c r="BP21" i="3" s="1"/>
  <c r="BO15" i="3"/>
  <c r="BP15" i="3" s="1"/>
  <c r="BO35" i="3"/>
  <c r="BP35" i="3" s="1"/>
  <c r="BO64" i="3"/>
  <c r="BP64" i="3" s="1"/>
  <c r="BO66" i="3"/>
  <c r="BP66" i="3" s="1"/>
  <c r="BO34" i="3"/>
  <c r="BP34" i="3" s="1"/>
  <c r="BO24" i="3"/>
  <c r="BP24" i="3" s="1"/>
  <c r="BZ63" i="3"/>
  <c r="BZ53" i="3"/>
  <c r="CA53" i="3"/>
  <c r="AA50" i="3"/>
  <c r="AB50" i="3" s="1"/>
  <c r="BV52" i="3"/>
  <c r="BX57" i="3"/>
  <c r="CA59" i="3"/>
  <c r="BO49" i="3"/>
  <c r="BP49" i="3" s="1"/>
  <c r="CA62" i="3"/>
  <c r="BX56" i="3"/>
  <c r="CA56" i="3"/>
  <c r="CA58" i="3"/>
  <c r="BY53" i="3"/>
  <c r="BZ61" i="3"/>
  <c r="BZ52" i="3"/>
  <c r="BV59" i="3"/>
  <c r="BO29" i="3"/>
  <c r="BP29" i="3" s="1"/>
  <c r="BO39" i="3"/>
  <c r="BP39" i="3" s="1"/>
  <c r="BO23" i="3"/>
  <c r="BP23" i="3" s="1"/>
  <c r="BO30" i="3"/>
  <c r="BP30" i="3" s="1"/>
  <c r="BZ50" i="3"/>
  <c r="BZ57" i="3"/>
  <c r="BX58" i="3"/>
  <c r="BO57" i="3"/>
  <c r="BP57" i="3" s="1"/>
  <c r="BV53" i="3"/>
  <c r="BV61" i="3"/>
  <c r="BV54" i="3"/>
  <c r="BZ54" i="3"/>
  <c r="BO38" i="3"/>
  <c r="BP38" i="3" s="1"/>
  <c r="BX54" i="3"/>
  <c r="BY55" i="3"/>
  <c r="CA51" i="3"/>
  <c r="BY56" i="3"/>
  <c r="BZ59" i="3"/>
  <c r="BV62" i="3"/>
  <c r="CA54" i="3"/>
  <c r="BO16" i="3"/>
  <c r="BP16" i="3" s="1"/>
  <c r="BO10" i="3"/>
  <c r="BP10" i="3" s="1"/>
  <c r="BX62" i="3"/>
  <c r="BW62" i="3"/>
  <c r="BZ51" i="3"/>
  <c r="BW56" i="3"/>
  <c r="CA63" i="3"/>
  <c r="BZ58" i="3"/>
  <c r="BW52" i="3"/>
  <c r="BX53" i="3"/>
  <c r="BO31" i="3"/>
  <c r="BP31" i="3" s="1"/>
  <c r="BO27" i="3"/>
  <c r="BP27" i="3" s="1"/>
  <c r="BO48" i="3"/>
  <c r="BP48" i="3" s="1"/>
  <c r="BO53" i="3"/>
  <c r="BP53" i="3" s="1"/>
  <c r="BY52" i="3"/>
  <c r="BW58" i="3"/>
  <c r="BY57" i="3"/>
  <c r="BW61" i="3"/>
  <c r="BY63" i="3"/>
  <c r="BZ55" i="3"/>
  <c r="CA61" i="3"/>
  <c r="BW63" i="3"/>
  <c r="AQ28" i="3"/>
  <c r="AR28" i="3" s="1"/>
  <c r="BG14" i="3"/>
  <c r="BH14" i="3" s="1"/>
  <c r="BO61" i="3"/>
  <c r="BP61" i="3" s="1"/>
  <c r="AI13" i="3"/>
  <c r="AJ13" i="3" s="1"/>
  <c r="BW55" i="3"/>
  <c r="BO51" i="3"/>
  <c r="BP51" i="3" s="1"/>
  <c r="BZ56" i="3"/>
  <c r="AQ19" i="3"/>
  <c r="AR19" i="3" s="1"/>
  <c r="BO54" i="3"/>
  <c r="BP54" i="3" s="1"/>
  <c r="BY58" i="3"/>
  <c r="BG35" i="3"/>
  <c r="BH35" i="3" s="1"/>
  <c r="BY61" i="3"/>
  <c r="BG37" i="3"/>
  <c r="BH37" i="3" s="1"/>
  <c r="AQ13" i="3"/>
  <c r="AR13" i="3" s="1"/>
  <c r="BV57" i="3"/>
  <c r="AI44" i="3"/>
  <c r="AJ44" i="3" s="1"/>
  <c r="BO63" i="3"/>
  <c r="BP63" i="3" s="1"/>
  <c r="AA25" i="3"/>
  <c r="AB25" i="3" s="1"/>
  <c r="AI27" i="3"/>
  <c r="AJ27" i="3" s="1"/>
  <c r="AQ50" i="3"/>
  <c r="AR50" i="3" s="1"/>
  <c r="CA57" i="3"/>
  <c r="BG36" i="3"/>
  <c r="BH36" i="3" s="1"/>
  <c r="AA46" i="3"/>
  <c r="AB46" i="3" s="1"/>
  <c r="AA47" i="3"/>
  <c r="AB47" i="3" s="1"/>
  <c r="BW53" i="3"/>
  <c r="BY59" i="3"/>
  <c r="BV55" i="3"/>
  <c r="AA21" i="3"/>
  <c r="AB21" i="3" s="1"/>
  <c r="AI47" i="3"/>
  <c r="AJ47" i="3" s="1"/>
  <c r="BV56" i="3"/>
  <c r="CA55" i="3"/>
  <c r="BG33" i="3"/>
  <c r="BH33" i="3" s="1"/>
  <c r="BZ62" i="3"/>
  <c r="AA19" i="3"/>
  <c r="AB19" i="3" s="1"/>
  <c r="AA28" i="3"/>
  <c r="AB28" i="3" s="1"/>
  <c r="AQ44" i="3"/>
  <c r="AR44" i="3" s="1"/>
  <c r="BO58" i="3"/>
  <c r="BP58" i="3" s="1"/>
  <c r="AQ43" i="3"/>
  <c r="AR43" i="3" s="1"/>
  <c r="CA52" i="3"/>
  <c r="BZ60" i="3"/>
  <c r="BW50" i="3"/>
  <c r="BO56" i="3"/>
  <c r="BP56" i="3" s="1"/>
  <c r="AA12" i="3"/>
  <c r="AB12" i="3" s="1"/>
  <c r="BO52" i="3"/>
  <c r="BP52" i="3" s="1"/>
  <c r="AQ20" i="3"/>
  <c r="AR20" i="3" s="1"/>
  <c r="BH38" i="3"/>
  <c r="BY50" i="3"/>
  <c r="BW51" i="3"/>
  <c r="BG16" i="3"/>
  <c r="BH16" i="3" s="1"/>
  <c r="CA50" i="3"/>
  <c r="BO59" i="3"/>
  <c r="BP59" i="3" s="1"/>
  <c r="AY43" i="3"/>
  <c r="AZ43" i="3" s="1"/>
  <c r="BW54" i="3"/>
  <c r="BG18" i="3"/>
  <c r="BH18" i="3" s="1"/>
  <c r="AY13" i="3"/>
  <c r="AZ13" i="3" s="1"/>
  <c r="CA60" i="3"/>
  <c r="BY54" i="3"/>
  <c r="AI50" i="3"/>
  <c r="AJ50" i="3" s="1"/>
  <c r="AY25" i="3"/>
  <c r="AZ25" i="3" s="1"/>
  <c r="BX61" i="3"/>
  <c r="BX51" i="3"/>
  <c r="BW57" i="3"/>
  <c r="BV63" i="3"/>
  <c r="AQ27" i="3"/>
  <c r="AR27" i="3" s="1"/>
  <c r="AA27" i="3"/>
  <c r="AB27" i="3" s="1"/>
  <c r="AY48" i="3"/>
  <c r="AZ48" i="3" s="1"/>
  <c r="AI43" i="3"/>
  <c r="AJ43" i="3" s="1"/>
  <c r="BX59" i="3"/>
  <c r="BY28" i="3"/>
  <c r="CA28" i="3"/>
  <c r="BO28" i="3"/>
  <c r="BP28" i="3" s="1"/>
  <c r="BZ28" i="3"/>
  <c r="BG60" i="3"/>
  <c r="BH60" i="3" s="1"/>
  <c r="BX28" i="3"/>
  <c r="AQ36" i="3"/>
  <c r="AR36" i="3" s="1"/>
  <c r="AI36" i="3"/>
  <c r="AJ36" i="3" s="1"/>
  <c r="BW28" i="3"/>
  <c r="AA36" i="3"/>
  <c r="AB36" i="3" s="1"/>
  <c r="BV28" i="3"/>
  <c r="AQ8" i="3"/>
  <c r="AR8" i="3" s="1"/>
  <c r="AQ57" i="3"/>
  <c r="AR57" i="3" s="1"/>
  <c r="AB54" i="3"/>
  <c r="AB30" i="3"/>
  <c r="BJ121" i="3"/>
  <c r="BB121" i="3"/>
  <c r="AT121" i="3"/>
  <c r="AL121" i="3"/>
  <c r="AD121" i="3"/>
  <c r="V121" i="3"/>
  <c r="AB33" i="3"/>
  <c r="CA48" i="3"/>
  <c r="BY47" i="3"/>
  <c r="BX37" i="3"/>
  <c r="BM97" i="3"/>
  <c r="Y96" i="3"/>
  <c r="U108" i="3"/>
  <c r="AK111" i="3"/>
  <c r="AU105" i="3"/>
  <c r="AU110" i="3"/>
  <c r="AU111" i="3"/>
  <c r="BM108" i="3"/>
  <c r="AG97" i="3"/>
  <c r="AG109" i="3"/>
  <c r="AG107" i="3"/>
  <c r="BC98" i="3"/>
  <c r="BC96" i="3"/>
  <c r="AF106" i="3"/>
  <c r="BI98" i="3"/>
  <c r="AS105" i="3"/>
  <c r="BE109" i="3"/>
  <c r="BC103" i="3"/>
  <c r="BC108" i="3"/>
  <c r="BC111" i="3"/>
  <c r="AE90" i="3"/>
  <c r="AU96" i="3"/>
  <c r="AU109" i="3"/>
  <c r="AC104" i="3"/>
  <c r="AF98" i="3"/>
  <c r="AW107" i="3"/>
  <c r="BE103" i="3"/>
  <c r="BK108" i="3"/>
  <c r="AV111" i="3"/>
  <c r="BK90" i="3"/>
  <c r="BA90" i="3"/>
  <c r="BA112" i="3"/>
  <c r="AK100" i="3"/>
  <c r="BL111" i="3"/>
  <c r="AG98" i="3"/>
  <c r="AS112" i="3"/>
  <c r="AU102" i="3"/>
  <c r="AU100" i="3"/>
  <c r="AC93" i="3"/>
  <c r="AC105" i="3"/>
  <c r="BM106" i="3"/>
  <c r="BM100" i="3"/>
  <c r="BL109" i="3"/>
  <c r="BM109" i="3"/>
  <c r="BL107" i="3"/>
  <c r="AG100" i="3"/>
  <c r="AG111" i="3"/>
  <c r="BC88" i="3"/>
  <c r="BC105" i="3"/>
  <c r="BC100" i="3"/>
  <c r="BC106" i="3"/>
  <c r="AE111" i="3"/>
  <c r="AM97" i="3"/>
  <c r="AM103" i="3"/>
  <c r="AM101" i="3"/>
  <c r="AM106" i="3"/>
  <c r="AO104" i="3"/>
  <c r="AO108" i="3"/>
  <c r="AU99" i="3"/>
  <c r="AE104" i="3"/>
  <c r="AE100" i="3"/>
  <c r="AE101" i="3"/>
  <c r="AE110" i="3"/>
  <c r="AO109" i="3"/>
  <c r="AK96" i="3"/>
  <c r="AK99" i="3"/>
  <c r="AK106" i="3"/>
  <c r="AK113" i="3"/>
  <c r="AU103" i="3"/>
  <c r="AU104" i="3"/>
  <c r="AC97" i="3"/>
  <c r="BI100" i="3"/>
  <c r="BI104" i="3"/>
  <c r="BA100" i="3"/>
  <c r="BD106" i="3"/>
  <c r="BD104" i="3"/>
  <c r="AG105" i="3"/>
  <c r="BD97" i="3"/>
  <c r="BE97" i="3"/>
  <c r="BE99" i="3"/>
  <c r="BE106" i="3"/>
  <c r="AF103" i="3"/>
  <c r="BI110" i="3"/>
  <c r="AW97" i="3"/>
  <c r="AV109" i="3"/>
  <c r="BA102" i="3"/>
  <c r="BA105" i="3"/>
  <c r="AN96" i="3"/>
  <c r="AN111" i="3"/>
  <c r="BD99" i="3"/>
  <c r="BK100" i="3"/>
  <c r="BK104" i="3"/>
  <c r="BD105" i="3"/>
  <c r="AN101" i="3"/>
  <c r="AF99" i="3"/>
  <c r="BI109" i="3"/>
  <c r="AF105" i="3"/>
  <c r="BA98" i="3"/>
  <c r="BD109" i="3"/>
  <c r="AV99" i="3"/>
  <c r="BK110" i="3"/>
  <c r="BK107" i="3"/>
  <c r="BK111" i="3"/>
  <c r="BL99" i="3"/>
  <c r="AS100" i="3"/>
  <c r="BE108" i="3"/>
  <c r="AS99" i="3"/>
  <c r="BI106" i="3"/>
  <c r="AN110" i="3"/>
  <c r="BM112" i="3"/>
  <c r="AW105" i="3"/>
  <c r="AF104" i="3"/>
  <c r="AN98" i="3"/>
  <c r="AS108" i="3"/>
  <c r="AS97" i="3"/>
  <c r="AW102" i="3"/>
  <c r="AW108" i="3"/>
  <c r="AV104" i="3"/>
  <c r="AV102" i="3"/>
  <c r="AN107" i="3"/>
  <c r="AO113" i="3"/>
  <c r="AF100" i="3"/>
  <c r="AS113" i="3"/>
  <c r="AF101" i="3"/>
  <c r="AN99" i="3"/>
  <c r="AN105" i="3"/>
  <c r="AN100" i="3"/>
  <c r="BM111" i="3"/>
  <c r="BD101" i="3"/>
  <c r="AV96" i="3"/>
  <c r="BE98" i="3"/>
  <c r="BI89" i="3"/>
  <c r="AV98" i="3"/>
  <c r="BA86" i="3"/>
  <c r="BA110" i="3"/>
  <c r="BK105" i="3"/>
  <c r="AK103" i="3"/>
  <c r="BC99" i="3"/>
  <c r="AE97" i="3"/>
  <c r="AO96" i="3"/>
  <c r="AW111" i="3"/>
  <c r="AN106" i="3"/>
  <c r="BD108" i="3"/>
  <c r="AV110" i="3"/>
  <c r="BE104" i="3"/>
  <c r="BE96" i="3"/>
  <c r="BE111" i="3"/>
  <c r="AV106" i="3"/>
  <c r="BD102" i="3"/>
  <c r="AS109" i="3"/>
  <c r="AN113" i="3"/>
  <c r="BK106" i="3"/>
  <c r="BK96" i="3"/>
  <c r="BK103" i="3"/>
  <c r="BK109" i="3"/>
  <c r="AK102" i="3"/>
  <c r="AK104" i="3"/>
  <c r="AU107" i="3"/>
  <c r="AU106" i="3"/>
  <c r="AU113" i="3"/>
  <c r="AC98" i="3"/>
  <c r="AC100" i="3"/>
  <c r="AC111" i="3"/>
  <c r="BM103" i="3"/>
  <c r="BL105" i="3"/>
  <c r="BM104" i="3"/>
  <c r="BM98" i="3"/>
  <c r="BC104" i="3"/>
  <c r="AE96" i="3"/>
  <c r="AE98" i="3"/>
  <c r="AE108" i="3"/>
  <c r="AM98" i="3"/>
  <c r="AM111" i="3"/>
  <c r="AO98" i="3"/>
  <c r="AO101" i="3"/>
  <c r="AO110" i="3"/>
  <c r="AF96" i="3"/>
  <c r="AV107" i="3"/>
  <c r="AN97" i="3"/>
  <c r="AN103" i="3"/>
  <c r="BD111" i="3"/>
  <c r="AC108" i="3"/>
  <c r="AC113" i="3"/>
  <c r="BL102" i="3"/>
  <c r="BC110" i="3"/>
  <c r="AE107" i="3"/>
  <c r="AE102" i="3"/>
  <c r="AM96" i="3"/>
  <c r="AM100" i="3"/>
  <c r="AM105" i="3"/>
  <c r="AO100" i="3"/>
  <c r="AO106" i="3"/>
  <c r="BM99" i="3"/>
  <c r="AS111" i="3"/>
  <c r="AF113" i="3"/>
  <c r="AN109" i="3"/>
  <c r="AG112" i="3"/>
  <c r="BE112" i="3"/>
  <c r="BE89" i="3"/>
  <c r="AS107" i="3"/>
  <c r="BI111" i="3"/>
  <c r="BI107" i="3"/>
  <c r="AW98" i="3"/>
  <c r="BA107" i="3"/>
  <c r="BK95" i="3"/>
  <c r="BK99" i="3"/>
  <c r="AK89" i="3"/>
  <c r="BY71" i="3"/>
  <c r="BY45" i="3"/>
  <c r="BW64" i="3"/>
  <c r="BL104" i="3"/>
  <c r="AG90" i="3"/>
  <c r="AG110" i="3"/>
  <c r="BM113" i="3"/>
  <c r="AF102" i="3"/>
  <c r="AW99" i="3"/>
  <c r="BE113" i="3"/>
  <c r="AF108" i="3"/>
  <c r="AF97" i="3"/>
  <c r="AF109" i="3"/>
  <c r="AS104" i="3"/>
  <c r="BI96" i="3"/>
  <c r="BI103" i="3"/>
  <c r="AS110" i="3"/>
  <c r="AS96" i="3"/>
  <c r="BA97" i="3"/>
  <c r="BA106" i="3"/>
  <c r="BA113" i="3"/>
  <c r="AW96" i="3"/>
  <c r="BK98" i="3"/>
  <c r="BK101" i="3"/>
  <c r="AK110" i="3"/>
  <c r="AU97" i="3"/>
  <c r="AC101" i="3"/>
  <c r="AC102" i="3"/>
  <c r="BM110" i="3"/>
  <c r="BL103" i="3"/>
  <c r="BL101" i="3"/>
  <c r="BL113" i="3"/>
  <c r="BL97" i="3"/>
  <c r="BL106" i="3"/>
  <c r="AG96" i="3"/>
  <c r="AG106" i="3"/>
  <c r="BM101" i="3"/>
  <c r="BC107" i="3"/>
  <c r="AE106" i="3"/>
  <c r="AM104" i="3"/>
  <c r="AO99" i="3"/>
  <c r="AW113" i="3"/>
  <c r="AW101" i="3"/>
  <c r="AW104" i="3"/>
  <c r="AC107" i="3"/>
  <c r="AC110" i="3"/>
  <c r="BL100" i="3"/>
  <c r="AG99" i="3"/>
  <c r="AG102" i="3"/>
  <c r="AE113" i="3"/>
  <c r="AM108" i="3"/>
  <c r="AM109" i="3"/>
  <c r="AO105" i="3"/>
  <c r="AS103" i="3"/>
  <c r="AW110" i="3"/>
  <c r="BD110" i="3"/>
  <c r="AF89" i="3"/>
  <c r="BE86" i="3"/>
  <c r="BE105" i="3"/>
  <c r="BI91" i="3"/>
  <c r="BI113" i="3"/>
  <c r="BA99" i="3"/>
  <c r="BD98" i="3"/>
  <c r="AU108" i="3"/>
  <c r="BL110" i="3"/>
  <c r="AG101" i="3"/>
  <c r="BC102" i="3"/>
  <c r="AM102" i="3"/>
  <c r="AW103" i="3"/>
  <c r="AE85" i="3"/>
  <c r="BE100" i="3"/>
  <c r="AV100" i="3"/>
  <c r="BD100" i="3"/>
  <c r="AS106" i="3"/>
  <c r="AS98" i="3"/>
  <c r="BA109" i="3"/>
  <c r="BA101" i="3"/>
  <c r="BA108" i="3"/>
  <c r="BD107" i="3"/>
  <c r="BK97" i="3"/>
  <c r="BK113" i="3"/>
  <c r="AK101" i="3"/>
  <c r="AK107" i="3"/>
  <c r="AU101" i="3"/>
  <c r="AU98" i="3"/>
  <c r="AC99" i="3"/>
  <c r="BM105" i="3"/>
  <c r="BL108" i="3"/>
  <c r="BL98" i="3"/>
  <c r="AG108" i="3"/>
  <c r="AG113" i="3"/>
  <c r="BC101" i="3"/>
  <c r="AE109" i="3"/>
  <c r="AM99" i="3"/>
  <c r="AM113" i="3"/>
  <c r="AO103" i="3"/>
  <c r="AO97" i="3"/>
  <c r="AO102" i="3"/>
  <c r="AV108" i="3"/>
  <c r="AF111" i="3"/>
  <c r="AW100" i="3"/>
  <c r="AS102" i="3"/>
  <c r="BD103" i="3"/>
  <c r="BD96" i="3"/>
  <c r="AN102" i="3"/>
  <c r="AK109" i="3"/>
  <c r="AC109" i="3"/>
  <c r="AG104" i="3"/>
  <c r="BC97" i="3"/>
  <c r="AE103" i="3"/>
  <c r="AO111" i="3"/>
  <c r="AW90" i="3"/>
  <c r="BD85" i="3"/>
  <c r="BD112" i="3"/>
  <c r="BE101" i="3"/>
  <c r="AN104" i="3"/>
  <c r="BI99" i="3"/>
  <c r="BI108" i="3"/>
  <c r="AN108" i="3"/>
  <c r="BD113" i="3"/>
  <c r="BE102" i="3"/>
  <c r="BE107" i="3"/>
  <c r="BE110" i="3"/>
  <c r="AV105" i="3"/>
  <c r="AW106" i="3"/>
  <c r="BI97" i="3"/>
  <c r="BI105" i="3"/>
  <c r="AW109" i="3"/>
  <c r="AV97" i="3"/>
  <c r="AV103" i="3"/>
  <c r="BA96" i="3"/>
  <c r="BA103" i="3"/>
  <c r="BA104" i="3"/>
  <c r="BA111" i="3"/>
  <c r="BK102" i="3"/>
  <c r="BM107" i="3"/>
  <c r="AK98" i="3"/>
  <c r="AK108" i="3"/>
  <c r="AC103" i="3"/>
  <c r="AC106" i="3"/>
  <c r="BM102" i="3"/>
  <c r="BM96" i="3"/>
  <c r="AG103" i="3"/>
  <c r="BC109" i="3"/>
  <c r="BC113" i="3"/>
  <c r="AE105" i="3"/>
  <c r="AE99" i="3"/>
  <c r="AM107" i="3"/>
  <c r="AM110" i="3"/>
  <c r="AO107" i="3"/>
  <c r="BL96" i="3"/>
  <c r="AV113" i="3"/>
  <c r="AV101" i="3"/>
  <c r="AF110" i="3"/>
  <c r="AF107" i="3"/>
  <c r="BL112" i="3"/>
  <c r="AU112" i="3"/>
  <c r="BK112" i="3"/>
  <c r="BI112" i="3"/>
  <c r="AC96" i="3"/>
  <c r="AK105" i="3"/>
  <c r="AK97" i="3"/>
  <c r="AK112" i="3"/>
  <c r="BC112" i="3"/>
  <c r="AN112" i="3"/>
  <c r="AM112" i="3"/>
  <c r="AE112" i="3"/>
  <c r="BI101" i="3"/>
  <c r="AS101" i="3"/>
  <c r="AW112" i="3"/>
  <c r="AO112" i="3"/>
  <c r="AV112" i="3"/>
  <c r="AF112" i="3"/>
  <c r="AC112" i="3"/>
  <c r="BI102" i="3"/>
  <c r="X100" i="3"/>
  <c r="W101" i="3"/>
  <c r="X108" i="3"/>
  <c r="Y101" i="3"/>
  <c r="W95" i="3"/>
  <c r="W102" i="3"/>
  <c r="Y107" i="3"/>
  <c r="W100" i="3"/>
  <c r="X98" i="3"/>
  <c r="Y99" i="3"/>
  <c r="U113" i="3"/>
  <c r="U112" i="3"/>
  <c r="W113" i="3"/>
  <c r="X99" i="3"/>
  <c r="Y104" i="3"/>
  <c r="U103" i="3"/>
  <c r="U102" i="3"/>
  <c r="U107" i="3"/>
  <c r="W112" i="3"/>
  <c r="W108" i="3"/>
  <c r="U97" i="3"/>
  <c r="U106" i="3"/>
  <c r="W98" i="3"/>
  <c r="Y111" i="3"/>
  <c r="X105" i="3"/>
  <c r="U101" i="3"/>
  <c r="X107" i="3"/>
  <c r="W96" i="3"/>
  <c r="W105" i="3"/>
  <c r="W106" i="3"/>
  <c r="W110" i="3"/>
  <c r="Y102" i="3"/>
  <c r="X106" i="3"/>
  <c r="Y110" i="3"/>
  <c r="X97" i="3"/>
  <c r="U99" i="3"/>
  <c r="U105" i="3"/>
  <c r="U109" i="3"/>
  <c r="Y105" i="3"/>
  <c r="W109" i="3"/>
  <c r="X103" i="3"/>
  <c r="U96" i="3"/>
  <c r="X112" i="3"/>
  <c r="X110" i="3"/>
  <c r="X109" i="3"/>
  <c r="U110" i="3"/>
  <c r="W99" i="3"/>
  <c r="W103" i="3"/>
  <c r="W107" i="3"/>
  <c r="Y103" i="3"/>
  <c r="X111" i="3"/>
  <c r="X101" i="3"/>
  <c r="U98" i="3"/>
  <c r="W97" i="3"/>
  <c r="Y113" i="3"/>
  <c r="Y98" i="3"/>
  <c r="U111" i="3"/>
  <c r="W104" i="3"/>
  <c r="Y106" i="3"/>
  <c r="X113" i="3"/>
  <c r="Y112" i="3"/>
  <c r="W111" i="3"/>
  <c r="X104" i="3"/>
  <c r="Y108" i="3"/>
  <c r="X96" i="3"/>
  <c r="X102" i="3"/>
  <c r="Y97" i="3"/>
  <c r="Y100" i="3"/>
  <c r="Y109" i="3"/>
  <c r="U100" i="3"/>
  <c r="U104" i="3"/>
  <c r="Y85" i="3"/>
  <c r="AW88" i="3"/>
  <c r="BE94" i="3"/>
  <c r="AS86" i="3"/>
  <c r="AN88" i="3"/>
  <c r="BK92" i="3"/>
  <c r="X88" i="3"/>
  <c r="X94" i="3"/>
  <c r="U94" i="3"/>
  <c r="AU88" i="3"/>
  <c r="AU93" i="3"/>
  <c r="AC94" i="3"/>
  <c r="BM92" i="3"/>
  <c r="BC89" i="3"/>
  <c r="AE95" i="3"/>
  <c r="AM94" i="3"/>
  <c r="AO91" i="3"/>
  <c r="AF88" i="3"/>
  <c r="AN94" i="3"/>
  <c r="AS89" i="3"/>
  <c r="X85" i="3"/>
  <c r="AC85" i="3"/>
  <c r="AN89" i="3"/>
  <c r="AV94" i="3"/>
  <c r="BE87" i="3"/>
  <c r="BD93" i="3"/>
  <c r="BI93" i="3"/>
  <c r="BD88" i="3"/>
  <c r="BA95" i="3"/>
  <c r="BA89" i="3"/>
  <c r="BA91" i="3"/>
  <c r="BD89" i="3"/>
  <c r="BK91" i="3"/>
  <c r="BL88" i="3"/>
  <c r="W89" i="3"/>
  <c r="Y94" i="3"/>
  <c r="U95" i="3"/>
  <c r="AK86" i="3"/>
  <c r="AU95" i="3"/>
  <c r="AU92" i="3"/>
  <c r="AU94" i="3"/>
  <c r="AC91" i="3"/>
  <c r="BL87" i="3"/>
  <c r="AG91" i="3"/>
  <c r="AE89" i="3"/>
  <c r="AE88" i="3"/>
  <c r="AE92" i="3"/>
  <c r="AM88" i="3"/>
  <c r="AM95" i="3"/>
  <c r="AF93" i="3"/>
  <c r="AS88" i="3"/>
  <c r="BD91" i="3"/>
  <c r="AN95" i="3"/>
  <c r="U85" i="3"/>
  <c r="BC85" i="3"/>
  <c r="BI88" i="3"/>
  <c r="BE85" i="3"/>
  <c r="AG85" i="3"/>
  <c r="BA94" i="3"/>
  <c r="BA88" i="3"/>
  <c r="BD94" i="3"/>
  <c r="AW95" i="3"/>
  <c r="W92" i="3"/>
  <c r="X91" i="3"/>
  <c r="U86" i="3"/>
  <c r="AU89" i="3"/>
  <c r="AC86" i="3"/>
  <c r="AC87" i="3"/>
  <c r="AC89" i="3"/>
  <c r="BM95" i="3"/>
  <c r="BL94" i="3"/>
  <c r="X89" i="3"/>
  <c r="AM90" i="3"/>
  <c r="AO86" i="3"/>
  <c r="AF90" i="3"/>
  <c r="AV95" i="3"/>
  <c r="AW86" i="3"/>
  <c r="AS90" i="3"/>
  <c r="AW92" i="3"/>
  <c r="AN87" i="3"/>
  <c r="AF85" i="3"/>
  <c r="BK93" i="3"/>
  <c r="AU86" i="3"/>
  <c r="AC88" i="3"/>
  <c r="BM90" i="3"/>
  <c r="BL92" i="3"/>
  <c r="BM93" i="3"/>
  <c r="AG94" i="3"/>
  <c r="AM89" i="3"/>
  <c r="AO88" i="3"/>
  <c r="AO94" i="3"/>
  <c r="AS95" i="3"/>
  <c r="AN92" i="3"/>
  <c r="AS91" i="3"/>
  <c r="W85" i="3"/>
  <c r="BE95" i="3"/>
  <c r="BI95" i="3"/>
  <c r="AN91" i="3"/>
  <c r="Y90" i="3"/>
  <c r="AK90" i="3"/>
  <c r="BI85" i="3"/>
  <c r="AW85" i="3"/>
  <c r="AV87" i="3"/>
  <c r="BE93" i="3"/>
  <c r="BE90" i="3"/>
  <c r="AW93" i="3"/>
  <c r="AW87" i="3"/>
  <c r="AS94" i="3"/>
  <c r="AV88" i="3"/>
  <c r="CA37" i="3"/>
  <c r="BI86" i="3"/>
  <c r="BA93" i="3"/>
  <c r="AW89" i="3"/>
  <c r="BK89" i="3"/>
  <c r="Y88" i="3"/>
  <c r="W88" i="3"/>
  <c r="W93" i="3"/>
  <c r="X93" i="3"/>
  <c r="X90" i="3"/>
  <c r="X87" i="3"/>
  <c r="X95" i="3"/>
  <c r="U89" i="3"/>
  <c r="AK88" i="3"/>
  <c r="AU87" i="3"/>
  <c r="AU91" i="3"/>
  <c r="AU90" i="3"/>
  <c r="BL93" i="3"/>
  <c r="AG95" i="3"/>
  <c r="AG87" i="3"/>
  <c r="AG92" i="3"/>
  <c r="AG88" i="3"/>
  <c r="AG93" i="3"/>
  <c r="BC90" i="3"/>
  <c r="BC92" i="3"/>
  <c r="AM92" i="3"/>
  <c r="BL89" i="3"/>
  <c r="AF92" i="3"/>
  <c r="AS93" i="3"/>
  <c r="AN90" i="3"/>
  <c r="AF94" i="3"/>
  <c r="BA85" i="3"/>
  <c r="BK88" i="3"/>
  <c r="W94" i="3"/>
  <c r="Y91" i="3"/>
  <c r="BM85" i="3"/>
  <c r="AV85" i="3"/>
  <c r="AF86" i="3"/>
  <c r="AV90" i="3"/>
  <c r="BI94" i="3"/>
  <c r="AF87" i="3"/>
  <c r="AV89" i="3"/>
  <c r="AN86" i="3"/>
  <c r="BK86" i="3"/>
  <c r="BK94" i="3"/>
  <c r="W90" i="3"/>
  <c r="Y93" i="3"/>
  <c r="Y87" i="3"/>
  <c r="X86" i="3"/>
  <c r="AK95" i="3"/>
  <c r="AK87" i="3"/>
  <c r="BL95" i="3"/>
  <c r="BL86" i="3"/>
  <c r="BL91" i="3"/>
  <c r="BC93" i="3"/>
  <c r="AE91" i="3"/>
  <c r="AE94" i="3"/>
  <c r="AM86" i="3"/>
  <c r="AM91" i="3"/>
  <c r="AM93" i="3"/>
  <c r="AM87" i="3"/>
  <c r="AO89" i="3"/>
  <c r="AO95" i="3"/>
  <c r="AW91" i="3"/>
  <c r="AN93" i="3"/>
  <c r="BD87" i="3"/>
  <c r="BD90" i="3"/>
  <c r="AV92" i="3"/>
  <c r="BK85" i="3"/>
  <c r="AU85" i="3"/>
  <c r="AO85" i="3"/>
  <c r="AN85" i="3"/>
  <c r="AK85" i="3"/>
  <c r="AF95" i="3"/>
  <c r="AV93" i="3"/>
  <c r="BI90" i="3"/>
  <c r="BI87" i="3"/>
  <c r="AW94" i="3"/>
  <c r="AS87" i="3"/>
  <c r="BD86" i="3"/>
  <c r="BK87" i="3"/>
  <c r="W91" i="3"/>
  <c r="X92" i="3"/>
  <c r="Y92" i="3"/>
  <c r="Y89" i="3"/>
  <c r="U87" i="3"/>
  <c r="AK94" i="3"/>
  <c r="AK93" i="3"/>
  <c r="BM87" i="3"/>
  <c r="AG89" i="3"/>
  <c r="BC87" i="3"/>
  <c r="BC86" i="3"/>
  <c r="BC91" i="3"/>
  <c r="AE93" i="3"/>
  <c r="AO92" i="3"/>
  <c r="AV86" i="3"/>
  <c r="AS92" i="3"/>
  <c r="BL85" i="3"/>
  <c r="AS85" i="3"/>
  <c r="AM85" i="3"/>
  <c r="BE91" i="3"/>
  <c r="BE88" i="3"/>
  <c r="BE92" i="3"/>
  <c r="AF91" i="3"/>
  <c r="BI92" i="3"/>
  <c r="BD95" i="3"/>
  <c r="BD92" i="3"/>
  <c r="BA87" i="3"/>
  <c r="BA92" i="3"/>
  <c r="W87" i="3"/>
  <c r="W86" i="3"/>
  <c r="Y86" i="3"/>
  <c r="Y95" i="3"/>
  <c r="U91" i="3"/>
  <c r="U92" i="3"/>
  <c r="U90" i="3"/>
  <c r="U88" i="3"/>
  <c r="U93" i="3"/>
  <c r="AK92" i="3"/>
  <c r="AK91" i="3"/>
  <c r="AC95" i="3"/>
  <c r="AC90" i="3"/>
  <c r="AC92" i="3"/>
  <c r="BM94" i="3"/>
  <c r="BL90" i="3"/>
  <c r="BM91" i="3"/>
  <c r="BM88" i="3"/>
  <c r="AG86" i="3"/>
  <c r="BC94" i="3"/>
  <c r="BC95" i="3"/>
  <c r="BM86" i="3"/>
  <c r="AE87" i="3"/>
  <c r="AE86" i="3"/>
  <c r="AO93" i="3"/>
  <c r="AO90" i="3"/>
  <c r="AO87" i="3"/>
  <c r="BM89" i="3"/>
  <c r="AV91" i="3"/>
  <c r="AD12" i="79"/>
  <c r="T12" i="79"/>
  <c r="Q12" i="79"/>
  <c r="P12" i="79"/>
  <c r="N12" i="79"/>
  <c r="AF12" i="79"/>
  <c r="U12" i="79"/>
  <c r="AE12" i="79"/>
  <c r="S12" i="79"/>
  <c r="O12" i="79"/>
  <c r="Z12" i="79"/>
  <c r="D12" i="79"/>
  <c r="F12" i="79"/>
  <c r="Y12" i="79"/>
  <c r="I12" i="79"/>
  <c r="AA12" i="79"/>
  <c r="L12" i="79"/>
  <c r="E12" i="79"/>
  <c r="X12" i="79"/>
  <c r="K12" i="79"/>
  <c r="G12" i="79"/>
  <c r="J12" i="79"/>
  <c r="AC12" i="79"/>
  <c r="V12" i="79"/>
  <c r="BZ77" i="3"/>
  <c r="BY49" i="3"/>
  <c r="BV75" i="3"/>
  <c r="BY66" i="3"/>
  <c r="CA69" i="3"/>
  <c r="CA36" i="3"/>
  <c r="CA35" i="3"/>
  <c r="CA38" i="3"/>
  <c r="BZ38" i="3"/>
  <c r="BZ72" i="3"/>
  <c r="BY69" i="3"/>
  <c r="BW67" i="3"/>
  <c r="BW72" i="3"/>
  <c r="BW36" i="3"/>
  <c r="BY40" i="3"/>
  <c r="BY36" i="3"/>
  <c r="BW35" i="3"/>
  <c r="BY41" i="3"/>
  <c r="BW45" i="3"/>
  <c r="BV42" i="3"/>
  <c r="BX43" i="3"/>
  <c r="BX64" i="3"/>
  <c r="BX75" i="3"/>
  <c r="BX40" i="3"/>
  <c r="BY43" i="3"/>
  <c r="BW42" i="3"/>
  <c r="BY38" i="3"/>
  <c r="BX49" i="3"/>
  <c r="BX39" i="3"/>
  <c r="BW41" i="3"/>
  <c r="BV74" i="3"/>
  <c r="BY73" i="3"/>
  <c r="BZ66" i="3"/>
  <c r="BV73" i="3"/>
  <c r="BX74" i="3"/>
  <c r="CA70" i="3"/>
  <c r="BZ70" i="3"/>
  <c r="CA71" i="3"/>
  <c r="CA72" i="3"/>
  <c r="BX69" i="3"/>
  <c r="CA66" i="3"/>
  <c r="BW70" i="3"/>
  <c r="CA75" i="3"/>
  <c r="BW71" i="3"/>
  <c r="CA43" i="3"/>
  <c r="CA47" i="3"/>
  <c r="CA64" i="3"/>
  <c r="BZ37" i="3"/>
  <c r="BX35" i="3"/>
  <c r="BX36" i="3"/>
  <c r="BX47" i="3"/>
  <c r="BW43" i="3"/>
  <c r="BV45" i="3"/>
  <c r="CA40" i="3"/>
  <c r="BV47" i="3"/>
  <c r="BV46" i="3"/>
  <c r="BW46" i="3"/>
  <c r="BW48" i="3"/>
  <c r="BY64" i="3"/>
  <c r="BX38" i="3"/>
  <c r="BW37" i="3"/>
  <c r="CA39" i="3"/>
  <c r="BW38" i="3"/>
  <c r="BW49" i="3"/>
  <c r="BY39" i="3"/>
  <c r="CA46" i="3"/>
  <c r="BX44" i="3"/>
  <c r="BV69" i="3"/>
  <c r="BV40" i="3"/>
  <c r="BV43" i="3"/>
  <c r="BZ49" i="3"/>
  <c r="BZ47" i="3"/>
  <c r="BZ64" i="3"/>
  <c r="BZ39" i="3"/>
  <c r="BX76" i="3"/>
  <c r="BV44" i="3"/>
  <c r="BV38" i="3"/>
  <c r="BX66" i="3"/>
  <c r="BV64" i="3"/>
  <c r="BX73" i="3"/>
  <c r="BX41" i="3"/>
  <c r="BZ41" i="3"/>
  <c r="BZ36" i="3"/>
  <c r="BY75" i="3"/>
  <c r="BY35" i="3"/>
  <c r="CA49" i="3"/>
  <c r="CA74" i="3"/>
  <c r="BY37" i="3"/>
  <c r="BZ43" i="3"/>
  <c r="BZ42" i="3"/>
  <c r="BZ67" i="3"/>
  <c r="BZ40" i="3"/>
  <c r="BY72" i="3"/>
  <c r="CA41" i="3"/>
  <c r="CA44" i="3"/>
  <c r="CA42" i="3"/>
  <c r="BZ45" i="3"/>
  <c r="BZ69" i="3"/>
  <c r="BZ75" i="3"/>
  <c r="BZ44" i="3"/>
  <c r="BY42" i="3"/>
  <c r="BY77" i="3"/>
  <c r="CA67" i="3"/>
  <c r="CA73" i="3"/>
  <c r="CA45" i="3"/>
  <c r="BY67" i="3"/>
  <c r="BZ46" i="3"/>
  <c r="BZ74" i="3"/>
  <c r="BZ71" i="3"/>
  <c r="BZ35" i="3"/>
  <c r="BZ73" i="3"/>
  <c r="BZ48" i="3"/>
  <c r="BY74" i="3"/>
  <c r="BV66" i="3"/>
  <c r="BX46" i="3"/>
  <c r="BX72" i="3"/>
  <c r="BX45" i="3"/>
  <c r="BV35" i="3"/>
  <c r="BV39" i="3"/>
  <c r="BV72" i="3"/>
  <c r="BY70" i="3"/>
  <c r="BY44" i="3"/>
  <c r="BV36" i="3"/>
  <c r="BV37" i="3"/>
  <c r="BV70" i="3"/>
  <c r="BV48" i="3"/>
  <c r="BX67" i="3"/>
  <c r="BY48" i="3"/>
  <c r="BW44" i="3"/>
  <c r="BV67" i="3"/>
  <c r="BV71" i="3"/>
  <c r="BV41" i="3"/>
  <c r="BV49" i="3"/>
  <c r="BX70" i="3"/>
  <c r="BW75" i="3"/>
  <c r="BY46" i="3"/>
  <c r="BW73" i="3"/>
  <c r="BW74" i="3"/>
  <c r="BW69" i="3"/>
  <c r="BX42" i="3"/>
  <c r="BX71" i="3"/>
  <c r="BW39" i="3"/>
  <c r="BX48" i="3"/>
  <c r="BW40" i="3"/>
  <c r="BW47" i="3"/>
  <c r="BW66" i="3"/>
  <c r="BW76" i="3"/>
  <c r="BZ76" i="3"/>
  <c r="BW77" i="3"/>
  <c r="BY76" i="3"/>
  <c r="BV77" i="3"/>
  <c r="BX77" i="3"/>
  <c r="CA77" i="3"/>
  <c r="CA76" i="3"/>
  <c r="BV76" i="3"/>
  <c r="BV9" i="3"/>
  <c r="BZ9" i="3"/>
  <c r="BW9" i="3"/>
  <c r="BX9" i="3"/>
  <c r="BY9" i="3"/>
  <c r="CA9" i="3"/>
  <c r="BY29" i="3"/>
  <c r="BX14" i="3"/>
  <c r="BY10" i="3"/>
  <c r="BW19" i="3"/>
  <c r="BV29" i="3"/>
  <c r="BW30" i="3"/>
  <c r="BZ16" i="3"/>
  <c r="BZ19" i="3"/>
  <c r="BY30" i="3"/>
  <c r="BW22" i="3"/>
  <c r="BX32" i="3"/>
  <c r="BY25" i="3"/>
  <c r="BZ14" i="3"/>
  <c r="BX30" i="3"/>
  <c r="BZ33" i="3"/>
  <c r="BY19" i="3"/>
  <c r="BV16" i="3"/>
  <c r="BX24" i="3"/>
  <c r="CA23" i="3"/>
  <c r="BV19" i="3"/>
  <c r="BW25" i="3"/>
  <c r="BW10" i="3"/>
  <c r="BZ24" i="3"/>
  <c r="BZ25" i="3"/>
  <c r="BZ27" i="3"/>
  <c r="BZ10" i="3"/>
  <c r="CA24" i="3"/>
  <c r="BV22" i="3"/>
  <c r="BV25" i="3"/>
  <c r="BV23" i="3"/>
  <c r="BW23" i="3"/>
  <c r="BX21" i="3"/>
  <c r="BZ22" i="3"/>
  <c r="CA19" i="3"/>
  <c r="BV14" i="3"/>
  <c r="BV33" i="3"/>
  <c r="BX16" i="3"/>
  <c r="BZ21" i="3"/>
  <c r="BY16" i="3"/>
  <c r="BY32" i="3"/>
  <c r="BV26" i="3"/>
  <c r="BW16" i="3"/>
  <c r="BX15" i="3"/>
  <c r="BX29" i="3"/>
  <c r="BX18" i="3"/>
  <c r="BZ18" i="3"/>
  <c r="BZ30" i="3"/>
  <c r="BZ32" i="3"/>
  <c r="BY31" i="3"/>
  <c r="BY15" i="3"/>
  <c r="CA30" i="3"/>
  <c r="CA16" i="3"/>
  <c r="CA32" i="3"/>
  <c r="BV10" i="3"/>
  <c r="BV32" i="3"/>
  <c r="BV31" i="3"/>
  <c r="BV30" i="3"/>
  <c r="BW32" i="3"/>
  <c r="BZ15" i="3"/>
  <c r="BZ13" i="3"/>
  <c r="BY27" i="3"/>
  <c r="BY14" i="3"/>
  <c r="CA29" i="3"/>
  <c r="CA22" i="3"/>
  <c r="CA14" i="3"/>
  <c r="CA27" i="3"/>
  <c r="BV15" i="3"/>
  <c r="BW14" i="3"/>
  <c r="BX27" i="3"/>
  <c r="BX13" i="3"/>
  <c r="BX25" i="3"/>
  <c r="BX19" i="3"/>
  <c r="BX31" i="3"/>
  <c r="BZ23" i="3"/>
  <c r="BY22" i="3"/>
  <c r="CA31" i="3"/>
  <c r="CA15" i="3"/>
  <c r="BV27" i="3"/>
  <c r="BW31" i="3"/>
  <c r="BX10" i="3"/>
  <c r="BZ29" i="3"/>
  <c r="BV24" i="3"/>
  <c r="BW29" i="3"/>
  <c r="BW15" i="3"/>
  <c r="BW27" i="3"/>
  <c r="BW24" i="3"/>
  <c r="BX22" i="3"/>
  <c r="BX23" i="3"/>
  <c r="BZ31" i="3"/>
  <c r="BY23" i="3"/>
  <c r="BY24" i="3"/>
  <c r="CA33" i="3"/>
  <c r="CA10" i="3"/>
  <c r="CA25" i="3"/>
  <c r="E17" i="79"/>
  <c r="V44" i="79"/>
  <c r="AA44" i="79"/>
  <c r="L21" i="79"/>
  <c r="K33" i="79"/>
  <c r="J44" i="79"/>
  <c r="Y21" i="79"/>
  <c r="P36" i="79"/>
  <c r="U44" i="79"/>
  <c r="Z36" i="79"/>
  <c r="AE39" i="79"/>
  <c r="AD18" i="79"/>
  <c r="I21" i="79"/>
  <c r="O40" i="79"/>
  <c r="Z20" i="79"/>
  <c r="AD19" i="79"/>
  <c r="U21" i="79"/>
  <c r="I44" i="79"/>
  <c r="AC37" i="79"/>
  <c r="P19" i="79"/>
  <c r="K37" i="79"/>
  <c r="L41" i="79"/>
  <c r="J33" i="79"/>
  <c r="J37" i="79"/>
  <c r="AD44" i="79"/>
  <c r="T19" i="79"/>
  <c r="U39" i="79"/>
  <c r="P18" i="79"/>
  <c r="AF44" i="79"/>
  <c r="AD20" i="79"/>
  <c r="P20" i="79"/>
  <c r="AC33" i="79"/>
  <c r="U20" i="79"/>
  <c r="P22" i="79"/>
  <c r="Y22" i="79"/>
  <c r="Z19" i="79"/>
  <c r="Y39" i="79"/>
  <c r="S18" i="79"/>
  <c r="U33" i="79"/>
  <c r="S33" i="79"/>
  <c r="V33" i="79"/>
  <c r="AA20" i="79"/>
  <c r="K22" i="79"/>
  <c r="L19" i="79"/>
  <c r="U40" i="79"/>
  <c r="J22" i="79"/>
  <c r="K19" i="79"/>
  <c r="G44" i="79"/>
  <c r="L44" i="79"/>
  <c r="D41" i="79"/>
  <c r="AC41" i="79"/>
  <c r="AC22" i="79"/>
  <c r="AA19" i="79"/>
  <c r="X39" i="79"/>
  <c r="N39" i="79"/>
  <c r="AC21" i="79"/>
  <c r="D33" i="79"/>
  <c r="E33" i="79"/>
  <c r="X20" i="79"/>
  <c r="AC36" i="79"/>
  <c r="AD22" i="79"/>
  <c r="K36" i="79"/>
  <c r="I22" i="79"/>
  <c r="J19" i="79"/>
  <c r="E44" i="79"/>
  <c r="L20" i="79"/>
  <c r="AF19" i="79"/>
  <c r="V19" i="79"/>
  <c r="K44" i="79"/>
  <c r="Y44" i="79"/>
  <c r="G41" i="79"/>
  <c r="E40" i="79"/>
  <c r="D18" i="79"/>
  <c r="Z21" i="79"/>
  <c r="Q36" i="79"/>
  <c r="I36" i="79"/>
  <c r="N22" i="79"/>
  <c r="T41" i="79"/>
  <c r="U22" i="79"/>
  <c r="Y19" i="79"/>
  <c r="Y20" i="79"/>
  <c r="Q19" i="79"/>
  <c r="I19" i="79"/>
  <c r="AE19" i="79"/>
  <c r="U19" i="79"/>
  <c r="V21" i="79"/>
  <c r="X18" i="79"/>
  <c r="F40" i="79"/>
  <c r="AA21" i="79"/>
  <c r="V22" i="79"/>
  <c r="AE18" i="79"/>
  <c r="X19" i="79"/>
  <c r="Q21" i="79"/>
  <c r="Q40" i="79"/>
  <c r="AF20" i="79"/>
  <c r="G33" i="79"/>
  <c r="T33" i="79"/>
  <c r="I20" i="79"/>
  <c r="E41" i="79"/>
  <c r="X33" i="79"/>
  <c r="O19" i="79"/>
  <c r="Q18" i="79"/>
  <c r="AC19" i="79"/>
  <c r="S36" i="79"/>
  <c r="S19" i="79"/>
  <c r="T21" i="79"/>
  <c r="T20" i="79"/>
  <c r="X21" i="79"/>
  <c r="O36" i="79"/>
  <c r="Z41" i="79"/>
  <c r="F36" i="79"/>
  <c r="T22" i="79"/>
  <c r="AD39" i="79"/>
  <c r="N33" i="79"/>
  <c r="N37" i="79"/>
  <c r="F22" i="79"/>
  <c r="O21" i="79"/>
  <c r="N40" i="79"/>
  <c r="AC20" i="79"/>
  <c r="J20" i="79"/>
  <c r="N20" i="79"/>
  <c r="L40" i="79"/>
  <c r="N19" i="79"/>
  <c r="S21" i="79"/>
  <c r="AD40" i="79"/>
  <c r="V20" i="79"/>
  <c r="N36" i="79"/>
  <c r="S44" i="79"/>
  <c r="J39" i="79"/>
  <c r="AA22" i="79"/>
  <c r="AA40" i="79"/>
  <c r="X36" i="79"/>
  <c r="AC18" i="79"/>
  <c r="N21" i="79"/>
  <c r="F33" i="79"/>
  <c r="AE20" i="79"/>
  <c r="D44" i="79"/>
  <c r="K20" i="79"/>
  <c r="O33" i="79"/>
  <c r="L22" i="79"/>
  <c r="S39" i="79"/>
  <c r="D40" i="79"/>
  <c r="S20" i="79"/>
  <c r="AE41" i="79"/>
  <c r="AF22" i="79"/>
  <c r="L36" i="79"/>
  <c r="Q22" i="79"/>
  <c r="I39" i="79"/>
  <c r="X41" i="79"/>
  <c r="G36" i="79"/>
  <c r="Z22" i="79"/>
  <c r="E22" i="79"/>
  <c r="AE44" i="79"/>
  <c r="P39" i="79"/>
  <c r="E39" i="79"/>
  <c r="AE21" i="79"/>
  <c r="O20" i="79"/>
  <c r="Q20" i="79"/>
  <c r="N17" i="79"/>
  <c r="K17" i="79"/>
  <c r="X17" i="79"/>
  <c r="AF17" i="79"/>
  <c r="S17" i="79"/>
  <c r="AE15" i="79"/>
  <c r="L14" i="79"/>
  <c r="I16" i="79"/>
  <c r="Q14" i="79"/>
  <c r="F15" i="79"/>
  <c r="I17" i="79"/>
  <c r="Q17" i="79"/>
  <c r="U16" i="79"/>
  <c r="V16" i="79"/>
  <c r="AA17" i="79"/>
  <c r="Z17" i="79"/>
  <c r="Y15" i="79"/>
  <c r="G15" i="79"/>
  <c r="G17" i="79"/>
  <c r="U17" i="79"/>
  <c r="T16" i="79"/>
  <c r="T15" i="79"/>
  <c r="S15" i="79"/>
  <c r="Z14" i="79"/>
  <c r="Z16" i="79"/>
  <c r="X14" i="79"/>
  <c r="G16" i="79"/>
  <c r="AF14" i="79"/>
  <c r="AF15" i="79"/>
  <c r="AE14" i="79"/>
  <c r="AD14" i="79"/>
  <c r="AC16" i="79"/>
  <c r="J16" i="79"/>
  <c r="I14" i="79"/>
  <c r="I15" i="79"/>
  <c r="P15" i="79"/>
  <c r="Q15" i="79"/>
  <c r="D17" i="79"/>
  <c r="G14" i="79"/>
  <c r="F17" i="79"/>
  <c r="U14" i="79"/>
  <c r="AA14" i="79"/>
  <c r="Y17" i="79"/>
  <c r="K16" i="79"/>
  <c r="AE17" i="79"/>
  <c r="P14" i="79"/>
  <c r="N14" i="79"/>
  <c r="D14" i="79"/>
  <c r="E14" i="79"/>
  <c r="E15" i="79"/>
  <c r="T17" i="79"/>
  <c r="S16" i="79"/>
  <c r="Y14" i="79"/>
  <c r="X15" i="79"/>
  <c r="O14" i="79"/>
  <c r="J15" i="79"/>
  <c r="AD16" i="79"/>
  <c r="AC14" i="79"/>
  <c r="L17" i="79"/>
  <c r="K14" i="79"/>
  <c r="J17" i="79"/>
  <c r="O16" i="79"/>
  <c r="O17" i="79"/>
  <c r="F16" i="79"/>
  <c r="V15" i="79"/>
  <c r="U15" i="79"/>
  <c r="V17" i="79"/>
  <c r="T14" i="79"/>
  <c r="AA16" i="79"/>
  <c r="Z15" i="79"/>
  <c r="K15" i="79"/>
  <c r="AF16" i="79"/>
  <c r="AD17" i="79"/>
  <c r="AD15" i="79"/>
  <c r="J14" i="79"/>
  <c r="Q16" i="79"/>
  <c r="P17" i="79"/>
  <c r="N16" i="79"/>
  <c r="N15" i="79"/>
  <c r="E16" i="79"/>
  <c r="V14" i="79"/>
  <c r="S14" i="79"/>
  <c r="AA15" i="79"/>
  <c r="L16" i="79"/>
  <c r="O15" i="79"/>
  <c r="D16" i="79"/>
  <c r="AC17" i="79"/>
  <c r="L15" i="79"/>
  <c r="AE16" i="79"/>
  <c r="AC15" i="79"/>
  <c r="P16" i="79"/>
  <c r="D15" i="79"/>
  <c r="F14" i="79"/>
  <c r="X16" i="79"/>
  <c r="Y16" i="79"/>
  <c r="AV29" i="79"/>
  <c r="AV32" i="79"/>
  <c r="E34" i="79"/>
  <c r="AP33" i="3"/>
  <c r="BX26" i="3" s="1"/>
  <c r="O28" i="79"/>
  <c r="N28" i="79"/>
  <c r="E20" i="79"/>
  <c r="I33" i="79"/>
  <c r="G20" i="79"/>
  <c r="F26" i="79"/>
  <c r="AH33" i="3"/>
  <c r="BW26" i="3" s="1"/>
  <c r="AX33" i="3"/>
  <c r="BY33" i="3" s="1"/>
  <c r="BF26" i="3"/>
  <c r="BZ26" i="3" s="1"/>
  <c r="BN26" i="3"/>
  <c r="BO26" i="3" s="1"/>
  <c r="BP26" i="3" s="1"/>
  <c r="Q24" i="79"/>
  <c r="N24" i="79"/>
  <c r="X34" i="79"/>
  <c r="U29" i="79"/>
  <c r="K42" i="79"/>
  <c r="O43" i="79"/>
  <c r="N18" i="79"/>
  <c r="U27" i="79"/>
  <c r="S27" i="79"/>
  <c r="N25" i="79"/>
  <c r="Q13" i="79"/>
  <c r="N13" i="79"/>
  <c r="AF27" i="79"/>
  <c r="J40" i="79"/>
  <c r="N43" i="79"/>
  <c r="G21" i="79"/>
  <c r="AA18" i="79"/>
  <c r="X25" i="79"/>
  <c r="V42" i="79"/>
  <c r="S42" i="79"/>
  <c r="Q26" i="79"/>
  <c r="U36" i="79"/>
  <c r="P24" i="79"/>
  <c r="D42" i="79"/>
  <c r="Y34" i="79"/>
  <c r="T29" i="79"/>
  <c r="K40" i="79"/>
  <c r="I42" i="79"/>
  <c r="Q43" i="79"/>
  <c r="F21" i="79"/>
  <c r="O18" i="79"/>
  <c r="F44" i="79"/>
  <c r="AA26" i="79"/>
  <c r="Y26" i="79"/>
  <c r="O24" i="79"/>
  <c r="V29" i="79"/>
  <c r="I40" i="79"/>
  <c r="Y24" i="79"/>
  <c r="E42" i="79"/>
  <c r="G42" i="79"/>
  <c r="U42" i="79"/>
  <c r="E37" i="79"/>
  <c r="T27" i="79"/>
  <c r="J13" i="79"/>
  <c r="X26" i="79"/>
  <c r="N26" i="79"/>
  <c r="Z24" i="79"/>
  <c r="X24" i="79"/>
  <c r="P43" i="79"/>
  <c r="F37" i="79"/>
  <c r="L13" i="79"/>
  <c r="I13" i="79"/>
  <c r="P26" i="79"/>
  <c r="O26" i="79"/>
  <c r="Y18" i="79"/>
  <c r="F42" i="79"/>
  <c r="T42" i="79"/>
  <c r="AA34" i="79"/>
  <c r="Z34" i="79"/>
  <c r="S29" i="79"/>
  <c r="J42" i="79"/>
  <c r="L42" i="79"/>
  <c r="E21" i="79"/>
  <c r="V27" i="79"/>
  <c r="K13" i="79"/>
  <c r="O25" i="79"/>
  <c r="P41" i="79"/>
  <c r="O41" i="79"/>
  <c r="O13" i="79"/>
  <c r="AD27" i="79"/>
  <c r="L25" i="79"/>
  <c r="K25" i="79"/>
  <c r="AD36" i="79"/>
  <c r="AE22" i="79"/>
  <c r="O31" i="79"/>
  <c r="L18" i="79"/>
  <c r="V41" i="79"/>
  <c r="O42" i="79"/>
  <c r="V24" i="79"/>
  <c r="P29" i="79"/>
  <c r="E19" i="79"/>
  <c r="K30" i="79"/>
  <c r="AF39" i="79"/>
  <c r="L31" i="79"/>
  <c r="AD26" i="79"/>
  <c r="J24" i="79"/>
  <c r="T43" i="79"/>
  <c r="S43" i="79"/>
  <c r="D26" i="79"/>
  <c r="X27" i="79"/>
  <c r="T26" i="79"/>
  <c r="AE24" i="79"/>
  <c r="O39" i="79"/>
  <c r="F43" i="79"/>
  <c r="Q27" i="79"/>
  <c r="P44" i="79"/>
  <c r="V18" i="79"/>
  <c r="AE31" i="79"/>
  <c r="D30" i="79"/>
  <c r="N41" i="79"/>
  <c r="P34" i="79"/>
  <c r="Z31" i="79"/>
  <c r="AA31" i="79"/>
  <c r="Y37" i="79"/>
  <c r="G18" i="79"/>
  <c r="AC25" i="79"/>
  <c r="Z43" i="79"/>
  <c r="X43" i="79"/>
  <c r="T44" i="79"/>
  <c r="AC29" i="79"/>
  <c r="AA41" i="79"/>
  <c r="AD42" i="79"/>
  <c r="AE42" i="79"/>
  <c r="AF42" i="79"/>
  <c r="S24" i="79"/>
  <c r="O30" i="79"/>
  <c r="G19" i="79"/>
  <c r="I31" i="79"/>
  <c r="F24" i="79"/>
  <c r="I24" i="79"/>
  <c r="V26" i="79"/>
  <c r="S26" i="79"/>
  <c r="AD24" i="79"/>
  <c r="K34" i="79"/>
  <c r="AC13" i="79"/>
  <c r="F13" i="79"/>
  <c r="AC44" i="79"/>
  <c r="D31" i="79"/>
  <c r="L27" i="79"/>
  <c r="T30" i="79"/>
  <c r="N27" i="79"/>
  <c r="Y29" i="79"/>
  <c r="Z29" i="79"/>
  <c r="T18" i="79"/>
  <c r="Z13" i="79"/>
  <c r="F30" i="79"/>
  <c r="T39" i="79"/>
  <c r="P13" i="79"/>
  <c r="Z25" i="79"/>
  <c r="AE40" i="79"/>
  <c r="AC40" i="79"/>
  <c r="Z37" i="79"/>
  <c r="X37" i="79"/>
  <c r="AE25" i="79"/>
  <c r="AF25" i="79"/>
  <c r="Y43" i="79"/>
  <c r="P31" i="79"/>
  <c r="J18" i="79"/>
  <c r="S41" i="79"/>
  <c r="Y41" i="79"/>
  <c r="F25" i="79"/>
  <c r="Q42" i="79"/>
  <c r="P30" i="79"/>
  <c r="N30" i="79"/>
  <c r="AA36" i="79"/>
  <c r="J30" i="79"/>
  <c r="K41" i="79"/>
  <c r="J41" i="79"/>
  <c r="K31" i="79"/>
  <c r="AE26" i="79"/>
  <c r="AC26" i="79"/>
  <c r="K24" i="79"/>
  <c r="O37" i="79"/>
  <c r="L29" i="79"/>
  <c r="E26" i="79"/>
  <c r="L33" i="79"/>
  <c r="Z42" i="79"/>
  <c r="AD13" i="79"/>
  <c r="G31" i="79"/>
  <c r="K27" i="79"/>
  <c r="AE30" i="79"/>
  <c r="V30" i="79"/>
  <c r="S30" i="79"/>
  <c r="O44" i="79"/>
  <c r="AC31" i="79"/>
  <c r="AA24" i="79"/>
  <c r="G37" i="79"/>
  <c r="Q25" i="79"/>
  <c r="P25" i="79"/>
  <c r="Z26" i="79"/>
  <c r="F20" i="79"/>
  <c r="V36" i="79"/>
  <c r="T36" i="79"/>
  <c r="Q41" i="79"/>
  <c r="V39" i="79"/>
  <c r="AA25" i="79"/>
  <c r="I25" i="79"/>
  <c r="F41" i="79"/>
  <c r="L37" i="79"/>
  <c r="AC43" i="79"/>
  <c r="AE29" i="79"/>
  <c r="L39" i="79"/>
  <c r="K39" i="79"/>
  <c r="Q31" i="79"/>
  <c r="D25" i="79"/>
  <c r="T24" i="79"/>
  <c r="S22" i="79"/>
  <c r="X40" i="79"/>
  <c r="Y36" i="79"/>
  <c r="L30" i="79"/>
  <c r="V31" i="79"/>
  <c r="T31" i="79"/>
  <c r="AF34" i="79"/>
  <c r="AD34" i="79"/>
  <c r="U43" i="79"/>
  <c r="J29" i="79"/>
  <c r="AA30" i="79"/>
  <c r="AA42" i="79"/>
  <c r="D43" i="79"/>
  <c r="AF33" i="79"/>
  <c r="AE33" i="79"/>
  <c r="AD33" i="79"/>
  <c r="V13" i="79"/>
  <c r="AF30" i="79"/>
  <c r="U34" i="79"/>
  <c r="T34" i="79"/>
  <c r="AF31" i="79"/>
  <c r="AE37" i="79"/>
  <c r="AD37" i="79"/>
  <c r="AF21" i="79"/>
  <c r="AD21" i="79"/>
  <c r="Y13" i="79"/>
  <c r="X13" i="79"/>
  <c r="AF28" i="79"/>
  <c r="AE28" i="79"/>
  <c r="AC27" i="79"/>
  <c r="Y31" i="79"/>
  <c r="E18" i="79"/>
  <c r="AA43" i="79"/>
  <c r="AF43" i="79"/>
  <c r="AF29" i="79"/>
  <c r="O22" i="79"/>
  <c r="E25" i="79"/>
  <c r="E36" i="79"/>
  <c r="X22" i="79"/>
  <c r="K43" i="79"/>
  <c r="AC39" i="79"/>
  <c r="U31" i="79"/>
  <c r="J31" i="79"/>
  <c r="V25" i="79"/>
  <c r="D24" i="79"/>
  <c r="K21" i="79"/>
  <c r="J21" i="79"/>
  <c r="Z27" i="79"/>
  <c r="U26" i="79"/>
  <c r="L34" i="79"/>
  <c r="I34" i="79"/>
  <c r="AF13" i="79"/>
  <c r="F31" i="79"/>
  <c r="P21" i="79"/>
  <c r="G43" i="79"/>
  <c r="S13" i="79"/>
  <c r="S34" i="79"/>
  <c r="Q44" i="79"/>
  <c r="U18" i="79"/>
  <c r="V37" i="79"/>
  <c r="S37" i="79"/>
  <c r="E27" i="79"/>
  <c r="G27" i="79"/>
  <c r="AD28" i="79"/>
  <c r="X44" i="79"/>
  <c r="J25" i="79"/>
  <c r="AA37" i="79"/>
  <c r="J36" i="79"/>
  <c r="T40" i="79"/>
  <c r="AD29" i="79"/>
  <c r="N31" i="79"/>
  <c r="K18" i="79"/>
  <c r="I18" i="79"/>
  <c r="G25" i="79"/>
  <c r="N42" i="79"/>
  <c r="P42" i="79"/>
  <c r="AC42" i="79"/>
  <c r="U24" i="79"/>
  <c r="L43" i="79"/>
  <c r="Z40" i="79"/>
  <c r="Y40" i="79"/>
  <c r="I30" i="79"/>
  <c r="S31" i="79"/>
  <c r="S25" i="79"/>
  <c r="E24" i="79"/>
  <c r="G24" i="79"/>
  <c r="L26" i="79"/>
  <c r="K26" i="79"/>
  <c r="I26" i="79"/>
  <c r="AF26" i="79"/>
  <c r="P37" i="79"/>
  <c r="K29" i="79"/>
  <c r="I29" i="79"/>
  <c r="G26" i="79"/>
  <c r="AE13" i="79"/>
  <c r="D13" i="79"/>
  <c r="D34" i="79"/>
  <c r="E43" i="79"/>
  <c r="AC30" i="79"/>
  <c r="V34" i="79"/>
  <c r="P27" i="79"/>
  <c r="N44" i="79"/>
  <c r="AD31" i="79"/>
  <c r="U37" i="79"/>
  <c r="AA13" i="79"/>
  <c r="E30" i="79"/>
  <c r="AE27" i="79"/>
  <c r="Q34" i="79"/>
  <c r="O34" i="79"/>
  <c r="X31" i="79"/>
  <c r="AD43" i="79"/>
  <c r="J43" i="79"/>
  <c r="Q30" i="79"/>
  <c r="O29" i="79"/>
  <c r="N29" i="79"/>
  <c r="F19" i="79"/>
  <c r="U25" i="79"/>
  <c r="AE34" i="79"/>
  <c r="AC34" i="79"/>
  <c r="L24" i="79"/>
  <c r="V43" i="79"/>
  <c r="AA39" i="79"/>
  <c r="D22" i="79"/>
  <c r="AA27" i="79"/>
  <c r="Y27" i="79"/>
  <c r="Y30" i="79"/>
  <c r="X30" i="79"/>
  <c r="AF24" i="79"/>
  <c r="AC24" i="79"/>
  <c r="J34" i="79"/>
  <c r="Y42" i="79"/>
  <c r="F34" i="79"/>
  <c r="G34" i="79"/>
  <c r="E31" i="79"/>
  <c r="J27" i="79"/>
  <c r="U13" i="79"/>
  <c r="Q28" i="79"/>
  <c r="P28" i="79"/>
  <c r="AA29" i="79"/>
  <c r="AC28" i="79"/>
  <c r="Z18" i="79"/>
  <c r="Y25" i="79"/>
  <c r="N34" i="79"/>
  <c r="Z44" i="79"/>
  <c r="AF40" i="79"/>
  <c r="AF36" i="79"/>
  <c r="AE36" i="79"/>
  <c r="G40" i="79"/>
  <c r="AF41" i="79"/>
  <c r="AD41" i="79"/>
  <c r="I37" i="79"/>
  <c r="AD25" i="79"/>
  <c r="AE43" i="79"/>
  <c r="V40" i="79"/>
  <c r="S40" i="79"/>
  <c r="U41" i="79"/>
  <c r="D36" i="79"/>
  <c r="I43" i="79"/>
  <c r="Q29" i="79"/>
  <c r="I41" i="79"/>
  <c r="AF18" i="79"/>
  <c r="T25" i="79"/>
  <c r="J26" i="79"/>
  <c r="Q37" i="79"/>
  <c r="Z39" i="79"/>
  <c r="G22" i="79"/>
  <c r="Z30" i="79"/>
  <c r="X42" i="79"/>
  <c r="E13" i="79"/>
  <c r="G13" i="79"/>
  <c r="Q39" i="79"/>
  <c r="I27" i="79"/>
  <c r="T13" i="79"/>
  <c r="AD30" i="79"/>
  <c r="P40" i="79"/>
  <c r="U30" i="79"/>
  <c r="O27" i="79"/>
  <c r="X29" i="79"/>
  <c r="F39" i="79"/>
  <c r="G39" i="79"/>
  <c r="AF37" i="79"/>
  <c r="T37" i="79"/>
  <c r="D27" i="79"/>
  <c r="F27" i="79"/>
  <c r="G30" i="79"/>
  <c r="Y33" i="79"/>
  <c r="Q33" i="79"/>
  <c r="AA33" i="79"/>
  <c r="P33" i="79"/>
  <c r="Z33" i="79"/>
  <c r="L28" i="79"/>
  <c r="J28" i="79"/>
  <c r="U28" i="79"/>
  <c r="I28" i="79"/>
  <c r="K28" i="79"/>
  <c r="T28" i="79"/>
  <c r="X28" i="79"/>
  <c r="D28" i="79"/>
  <c r="Y28" i="79"/>
  <c r="S28" i="79"/>
  <c r="Z28" i="79"/>
  <c r="E28" i="79"/>
  <c r="V28" i="79"/>
  <c r="AA28" i="79"/>
  <c r="G28" i="79"/>
  <c r="F28" i="79"/>
  <c r="BW33" i="3" l="1"/>
  <c r="BX33" i="3"/>
  <c r="AX78" i="3"/>
  <c r="AY33" i="3"/>
  <c r="AZ33" i="3" s="1"/>
  <c r="CA26" i="3"/>
  <c r="BY26" i="3"/>
  <c r="AA78" i="3"/>
  <c r="BO8" i="3"/>
  <c r="BO100" i="3" s="1"/>
  <c r="BN78" i="3"/>
  <c r="AG12" i="79" s="1"/>
  <c r="AB78" i="3"/>
  <c r="BG26" i="3"/>
  <c r="BF78" i="3"/>
  <c r="AB12" i="79" s="1"/>
  <c r="AQ33" i="3"/>
  <c r="AP78" i="3"/>
  <c r="R12" i="79" s="1"/>
  <c r="AI33" i="3"/>
  <c r="AI93" i="3" s="1"/>
  <c r="AH78" i="3"/>
  <c r="M12" i="79" s="1"/>
  <c r="AY100" i="3"/>
  <c r="AA90" i="3"/>
  <c r="BO90" i="3"/>
  <c r="AI108" i="3"/>
  <c r="AA103" i="3"/>
  <c r="AB107" i="3"/>
  <c r="AA101" i="3"/>
  <c r="AA86" i="3"/>
  <c r="BO89" i="3"/>
  <c r="AA109" i="3"/>
  <c r="AB105" i="3"/>
  <c r="AA108" i="3"/>
  <c r="AA106" i="3"/>
  <c r="AA107" i="3"/>
  <c r="BP90" i="3"/>
  <c r="BP112" i="3"/>
  <c r="BP86" i="3"/>
  <c r="BO95" i="3"/>
  <c r="AB98" i="3"/>
  <c r="AA92" i="3"/>
  <c r="AA112" i="3"/>
  <c r="AA98" i="3"/>
  <c r="AA99" i="3"/>
  <c r="AA100" i="3"/>
  <c r="BG102" i="3"/>
  <c r="BO106" i="3"/>
  <c r="BP89" i="3"/>
  <c r="BP95" i="3"/>
  <c r="BO109" i="3"/>
  <c r="BP92" i="3"/>
  <c r="BP106" i="3"/>
  <c r="BO104" i="3"/>
  <c r="BO112" i="3"/>
  <c r="BO96" i="3"/>
  <c r="BO97" i="3"/>
  <c r="BG105" i="3"/>
  <c r="BP104" i="3"/>
  <c r="BP96" i="3"/>
  <c r="BP97" i="3"/>
  <c r="BP99" i="3"/>
  <c r="BG110" i="3"/>
  <c r="BO98" i="3"/>
  <c r="BP98" i="3"/>
  <c r="BO101" i="3"/>
  <c r="BO86" i="3"/>
  <c r="BP101" i="3"/>
  <c r="BO88" i="3"/>
  <c r="BP88" i="3"/>
  <c r="BP109" i="3"/>
  <c r="BO92" i="3"/>
  <c r="BP87" i="3"/>
  <c r="BP111" i="3"/>
  <c r="BP105" i="3"/>
  <c r="BO94" i="3"/>
  <c r="BO113" i="3"/>
  <c r="BP94" i="3"/>
  <c r="BO93" i="3"/>
  <c r="BO91" i="3"/>
  <c r="BO107" i="3"/>
  <c r="BP113" i="3"/>
  <c r="BO108" i="3"/>
  <c r="BP93" i="3"/>
  <c r="BP91" i="3"/>
  <c r="BP107" i="3"/>
  <c r="BP108" i="3"/>
  <c r="BO99" i="3"/>
  <c r="BO87" i="3"/>
  <c r="BO102" i="3"/>
  <c r="BO110" i="3"/>
  <c r="BP103" i="3"/>
  <c r="BP102" i="3"/>
  <c r="BO105" i="3"/>
  <c r="BO103" i="3"/>
  <c r="BO111" i="3"/>
  <c r="BP110" i="3"/>
  <c r="AZ98" i="3"/>
  <c r="AY97" i="3"/>
  <c r="AY94" i="3"/>
  <c r="BH88" i="3"/>
  <c r="BG91" i="3"/>
  <c r="AQ89" i="3"/>
  <c r="BH101" i="3"/>
  <c r="AR89" i="3"/>
  <c r="AY86" i="3"/>
  <c r="BH98" i="3"/>
  <c r="BG92" i="3"/>
  <c r="AZ103" i="3"/>
  <c r="AY109" i="3"/>
  <c r="BH90" i="3"/>
  <c r="BH113" i="3"/>
  <c r="BH87" i="3"/>
  <c r="BH86" i="3"/>
  <c r="BH91" i="3"/>
  <c r="BG98" i="3"/>
  <c r="BH108" i="3"/>
  <c r="BH99" i="3"/>
  <c r="BG88" i="3"/>
  <c r="BG87" i="3"/>
  <c r="BG101" i="3"/>
  <c r="BH104" i="3"/>
  <c r="BH96" i="3"/>
  <c r="BG100" i="3"/>
  <c r="BH102" i="3"/>
  <c r="BH105" i="3"/>
  <c r="BG96" i="3"/>
  <c r="BG103" i="3"/>
  <c r="BG97" i="3"/>
  <c r="BH107" i="3"/>
  <c r="BG95" i="3"/>
  <c r="BH97" i="3"/>
  <c r="BH89" i="3"/>
  <c r="BG106" i="3"/>
  <c r="BH95" i="3"/>
  <c r="BG113" i="3"/>
  <c r="BG89" i="3"/>
  <c r="BG86" i="3"/>
  <c r="BH106" i="3"/>
  <c r="BG104" i="3"/>
  <c r="BG99" i="3"/>
  <c r="BG107" i="3"/>
  <c r="BG112" i="3"/>
  <c r="BG111" i="3"/>
  <c r="BH94" i="3"/>
  <c r="BG109" i="3"/>
  <c r="BH112" i="3"/>
  <c r="BG93" i="3"/>
  <c r="BH111" i="3"/>
  <c r="BG94" i="3"/>
  <c r="BH109" i="3"/>
  <c r="BH103" i="3"/>
  <c r="BG90" i="3"/>
  <c r="BH110" i="3"/>
  <c r="BG108" i="3"/>
  <c r="BH92" i="3"/>
  <c r="AY103" i="3"/>
  <c r="AZ88" i="3"/>
  <c r="AZ97" i="3"/>
  <c r="AY91" i="3"/>
  <c r="AZ94" i="3"/>
  <c r="AY106" i="3"/>
  <c r="AY110" i="3"/>
  <c r="AZ105" i="3"/>
  <c r="AY98" i="3"/>
  <c r="AY95" i="3"/>
  <c r="AZ108" i="3"/>
  <c r="AZ106" i="3"/>
  <c r="AZ113" i="3"/>
  <c r="AZ95" i="3"/>
  <c r="AZ111" i="3"/>
  <c r="AZ86" i="3"/>
  <c r="AY108" i="3"/>
  <c r="AY111" i="3"/>
  <c r="AZ109" i="3"/>
  <c r="AY113" i="3"/>
  <c r="AZ91" i="3"/>
  <c r="AY88" i="3"/>
  <c r="AZ104" i="3"/>
  <c r="AZ102" i="3"/>
  <c r="AY99" i="3"/>
  <c r="AY102" i="3"/>
  <c r="AY90" i="3"/>
  <c r="AZ110" i="3"/>
  <c r="AY105" i="3"/>
  <c r="AZ99" i="3"/>
  <c r="AZ90" i="3"/>
  <c r="AY107" i="3"/>
  <c r="AY96" i="3"/>
  <c r="AY101" i="3"/>
  <c r="AZ96" i="3"/>
  <c r="AZ92" i="3"/>
  <c r="AZ101" i="3"/>
  <c r="AY112" i="3"/>
  <c r="AZ107" i="3"/>
  <c r="AY93" i="3"/>
  <c r="AZ89" i="3"/>
  <c r="AZ112" i="3"/>
  <c r="AZ87" i="3"/>
  <c r="AY92" i="3"/>
  <c r="AY87" i="3"/>
  <c r="AY104" i="3"/>
  <c r="AY89" i="3"/>
  <c r="AR94" i="3"/>
  <c r="AR91" i="3"/>
  <c r="AQ107" i="3"/>
  <c r="AJ95" i="3"/>
  <c r="AJ99" i="3"/>
  <c r="AR109" i="3"/>
  <c r="AJ108" i="3"/>
  <c r="AQ109" i="3"/>
  <c r="AQ101" i="3"/>
  <c r="AI109" i="3"/>
  <c r="AI99" i="3"/>
  <c r="AQ106" i="3"/>
  <c r="AI87" i="3"/>
  <c r="AQ92" i="3"/>
  <c r="AI98" i="3"/>
  <c r="AQ111" i="3"/>
  <c r="AI102" i="3"/>
  <c r="AR92" i="3"/>
  <c r="AJ98" i="3"/>
  <c r="AR111" i="3"/>
  <c r="AR106" i="3"/>
  <c r="AJ111" i="3"/>
  <c r="AJ102" i="3"/>
  <c r="AQ94" i="3"/>
  <c r="AI111" i="3"/>
  <c r="AI113" i="3"/>
  <c r="AQ91" i="3"/>
  <c r="AR107" i="3"/>
  <c r="AI95" i="3"/>
  <c r="AI112" i="3"/>
  <c r="AI89" i="3"/>
  <c r="AI92" i="3"/>
  <c r="AR86" i="3"/>
  <c r="AJ88" i="3"/>
  <c r="AR87" i="3"/>
  <c r="AQ104" i="3"/>
  <c r="AQ110" i="3"/>
  <c r="AI105" i="3"/>
  <c r="AJ87" i="3"/>
  <c r="AJ91" i="3"/>
  <c r="AJ113" i="3"/>
  <c r="AI94" i="3"/>
  <c r="AQ97" i="3"/>
  <c r="AJ112" i="3"/>
  <c r="AJ89" i="3"/>
  <c r="AQ93" i="3"/>
  <c r="AR104" i="3"/>
  <c r="AR110" i="3"/>
  <c r="AI86" i="3"/>
  <c r="AJ105" i="3"/>
  <c r="AJ109" i="3"/>
  <c r="AI91" i="3"/>
  <c r="AJ94" i="3"/>
  <c r="AR97" i="3"/>
  <c r="AI107" i="3"/>
  <c r="AI90" i="3"/>
  <c r="AQ112" i="3"/>
  <c r="AI103" i="3"/>
  <c r="AJ86" i="3"/>
  <c r="AJ106" i="3"/>
  <c r="AI97" i="3"/>
  <c r="AJ107" i="3"/>
  <c r="AQ103" i="3"/>
  <c r="AQ99" i="3"/>
  <c r="AJ90" i="3"/>
  <c r="AR112" i="3"/>
  <c r="AJ103" i="3"/>
  <c r="AR113" i="3"/>
  <c r="AJ97" i="3"/>
  <c r="AQ95" i="3"/>
  <c r="AQ108" i="3"/>
  <c r="AQ105" i="3"/>
  <c r="AJ110" i="3"/>
  <c r="AR103" i="3"/>
  <c r="AI96" i="3"/>
  <c r="AQ96" i="3"/>
  <c r="AQ98" i="3"/>
  <c r="AI104" i="3"/>
  <c r="AQ113" i="3"/>
  <c r="AI106" i="3"/>
  <c r="AR102" i="3"/>
  <c r="AR108" i="3"/>
  <c r="AR105" i="3"/>
  <c r="AJ96" i="3"/>
  <c r="AR99" i="3"/>
  <c r="AR96" i="3"/>
  <c r="AJ104" i="3"/>
  <c r="AQ88" i="3"/>
  <c r="AQ102" i="3"/>
  <c r="AJ101" i="3"/>
  <c r="AR95" i="3"/>
  <c r="AI110" i="3"/>
  <c r="AQ86" i="3"/>
  <c r="AI100" i="3"/>
  <c r="AR98" i="3"/>
  <c r="AQ90" i="3"/>
  <c r="AR101" i="3"/>
  <c r="AR88" i="3"/>
  <c r="AI101" i="3"/>
  <c r="AQ100" i="3"/>
  <c r="AJ92" i="3"/>
  <c r="AI88" i="3"/>
  <c r="AQ87" i="3"/>
  <c r="AR90" i="3"/>
  <c r="AB112" i="3"/>
  <c r="AB113" i="3"/>
  <c r="AA113" i="3"/>
  <c r="AB93" i="3"/>
  <c r="AB103" i="3"/>
  <c r="AB109" i="3"/>
  <c r="AB111" i="3"/>
  <c r="AB99" i="3"/>
  <c r="AB101" i="3"/>
  <c r="AB100" i="3"/>
  <c r="AB106" i="3"/>
  <c r="AB91" i="3"/>
  <c r="AB110" i="3"/>
  <c r="AB89" i="3"/>
  <c r="AB104" i="3"/>
  <c r="AB102" i="3"/>
  <c r="AB95" i="3"/>
  <c r="AB86" i="3"/>
  <c r="AB87" i="3"/>
  <c r="AB96" i="3"/>
  <c r="AB92" i="3"/>
  <c r="AB90" i="3"/>
  <c r="AB108" i="3"/>
  <c r="AB94" i="3"/>
  <c r="AB97" i="3"/>
  <c r="AB88" i="3"/>
  <c r="AA95" i="3"/>
  <c r="AA96" i="3"/>
  <c r="AA88" i="3"/>
  <c r="AA104" i="3"/>
  <c r="AA110" i="3"/>
  <c r="AA111" i="3"/>
  <c r="AA91" i="3"/>
  <c r="AA94" i="3"/>
  <c r="AA105" i="3"/>
  <c r="AA93" i="3"/>
  <c r="AA89" i="3"/>
  <c r="AA97" i="3"/>
  <c r="AA102" i="3"/>
  <c r="AA87" i="3"/>
  <c r="AE121" i="3"/>
  <c r="AN121" i="3"/>
  <c r="AV121" i="3"/>
  <c r="AO121" i="3"/>
  <c r="AF121" i="3"/>
  <c r="BC121" i="3"/>
  <c r="AS121" i="3"/>
  <c r="BL121" i="3"/>
  <c r="BD121" i="3"/>
  <c r="BK121" i="3"/>
  <c r="AG121" i="3"/>
  <c r="AW121" i="3"/>
  <c r="BM121" i="3"/>
  <c r="BE121" i="3"/>
  <c r="BA121" i="3"/>
  <c r="AP86" i="3"/>
  <c r="BS86" i="3" s="1"/>
  <c r="AM121" i="3"/>
  <c r="AK121" i="3"/>
  <c r="AC121" i="3"/>
  <c r="BI121" i="3"/>
  <c r="AU121" i="3"/>
  <c r="AH111" i="3"/>
  <c r="AX85" i="3"/>
  <c r="BN111" i="3"/>
  <c r="AP111" i="3"/>
  <c r="BS111" i="3" s="1"/>
  <c r="AX102" i="3"/>
  <c r="AX111" i="3"/>
  <c r="BF111" i="3"/>
  <c r="AH103" i="3"/>
  <c r="AH97" i="3"/>
  <c r="BF113" i="3"/>
  <c r="BF107" i="3"/>
  <c r="AP103" i="3"/>
  <c r="BS103" i="3" s="1"/>
  <c r="AP106" i="3"/>
  <c r="BS106" i="3" s="1"/>
  <c r="BN96" i="3"/>
  <c r="BN108" i="3"/>
  <c r="BN112" i="3"/>
  <c r="AX112" i="3"/>
  <c r="AP112" i="3"/>
  <c r="BS112" i="3" s="1"/>
  <c r="AH108" i="3"/>
  <c r="AH98" i="3"/>
  <c r="AX110" i="3"/>
  <c r="BN106" i="3"/>
  <c r="BN105" i="3"/>
  <c r="BF105" i="3"/>
  <c r="BN103" i="3"/>
  <c r="AP107" i="3"/>
  <c r="BS107" i="3" s="1"/>
  <c r="AP110" i="3"/>
  <c r="BS110" i="3" s="1"/>
  <c r="AX108" i="3"/>
  <c r="BF104" i="3"/>
  <c r="BF96" i="3"/>
  <c r="AH113" i="3"/>
  <c r="AX103" i="3"/>
  <c r="AP113" i="3"/>
  <c r="BS113" i="3" s="1"/>
  <c r="AP96" i="3"/>
  <c r="BS96" i="3" s="1"/>
  <c r="BF102" i="3"/>
  <c r="AX98" i="3"/>
  <c r="AX97" i="3"/>
  <c r="AP104" i="3"/>
  <c r="BS104" i="3" s="1"/>
  <c r="AX104" i="3"/>
  <c r="AH96" i="3"/>
  <c r="BF97" i="3"/>
  <c r="BF99" i="3"/>
  <c r="BF100" i="3"/>
  <c r="AP99" i="3"/>
  <c r="BS99" i="3" s="1"/>
  <c r="AX99" i="3"/>
  <c r="BN113" i="3"/>
  <c r="BN104" i="3"/>
  <c r="AX101" i="3"/>
  <c r="AH106" i="3"/>
  <c r="BF110" i="3"/>
  <c r="AP108" i="3"/>
  <c r="BS108" i="3" s="1"/>
  <c r="BF101" i="3"/>
  <c r="BN109" i="3"/>
  <c r="AP101" i="3"/>
  <c r="BS101" i="3" s="1"/>
  <c r="AX86" i="3"/>
  <c r="AP102" i="3"/>
  <c r="BS102" i="3" s="1"/>
  <c r="AH104" i="3"/>
  <c r="BN100" i="3"/>
  <c r="BN97" i="3"/>
  <c r="BN102" i="3"/>
  <c r="AP97" i="3"/>
  <c r="BS97" i="3" s="1"/>
  <c r="AH100" i="3"/>
  <c r="AH109" i="3"/>
  <c r="BF108" i="3"/>
  <c r="BF106" i="3"/>
  <c r="BN98" i="3"/>
  <c r="BF98" i="3"/>
  <c r="AH107" i="3"/>
  <c r="AP100" i="3"/>
  <c r="BS100" i="3" s="1"/>
  <c r="BN107" i="3"/>
  <c r="BN101" i="3"/>
  <c r="AH112" i="3"/>
  <c r="AH102" i="3"/>
  <c r="AX96" i="3"/>
  <c r="BN110" i="3"/>
  <c r="AX100" i="3"/>
  <c r="AX106" i="3"/>
  <c r="BN99" i="3"/>
  <c r="AP105" i="3"/>
  <c r="BS105" i="3" s="1"/>
  <c r="AH105" i="3"/>
  <c r="AH99" i="3"/>
  <c r="AP109" i="3"/>
  <c r="BS109" i="3" s="1"/>
  <c r="BF109" i="3"/>
  <c r="AX109" i="3"/>
  <c r="AX107" i="3"/>
  <c r="AX105" i="3"/>
  <c r="BF103" i="3"/>
  <c r="AH101" i="3"/>
  <c r="AP98" i="3"/>
  <c r="BS98" i="3" s="1"/>
  <c r="AX113" i="3"/>
  <c r="BF112" i="3"/>
  <c r="AH110" i="3"/>
  <c r="Y121" i="3"/>
  <c r="W121" i="3"/>
  <c r="U121" i="3"/>
  <c r="X121" i="3"/>
  <c r="Z99" i="3"/>
  <c r="Z103" i="3"/>
  <c r="Z105" i="3"/>
  <c r="Z110" i="3"/>
  <c r="Z96" i="3"/>
  <c r="Z98" i="3"/>
  <c r="Z101" i="3"/>
  <c r="Z102" i="3"/>
  <c r="Z107" i="3"/>
  <c r="Z113" i="3"/>
  <c r="Z112" i="3"/>
  <c r="Z104" i="3"/>
  <c r="Z106" i="3"/>
  <c r="Z109" i="3"/>
  <c r="Z100" i="3"/>
  <c r="Z108" i="3"/>
  <c r="Z111" i="3"/>
  <c r="Z97" i="3"/>
  <c r="BY68" i="3"/>
  <c r="AX88" i="3"/>
  <c r="Z94" i="3"/>
  <c r="Z92" i="3"/>
  <c r="BW65" i="3"/>
  <c r="AH90" i="3"/>
  <c r="AH92" i="3"/>
  <c r="AP94" i="3"/>
  <c r="BS94" i="3" s="1"/>
  <c r="BX65" i="3"/>
  <c r="AP90" i="3"/>
  <c r="BS90" i="3" s="1"/>
  <c r="AP89" i="3"/>
  <c r="BS89" i="3" s="1"/>
  <c r="AH95" i="3"/>
  <c r="AP91" i="3"/>
  <c r="BS91" i="3" s="1"/>
  <c r="BV68" i="3"/>
  <c r="Z88" i="3"/>
  <c r="BV65" i="3"/>
  <c r="Z90" i="3"/>
  <c r="BF89" i="3"/>
  <c r="AP92" i="3"/>
  <c r="BS92" i="3" s="1"/>
  <c r="AH93" i="3"/>
  <c r="AP93" i="3"/>
  <c r="BS93" i="3" s="1"/>
  <c r="AX92" i="3"/>
  <c r="BY65" i="3"/>
  <c r="AX90" i="3"/>
  <c r="AH87" i="3"/>
  <c r="BF94" i="3"/>
  <c r="BF95" i="3"/>
  <c r="AX94" i="3"/>
  <c r="AH94" i="3"/>
  <c r="Z85" i="3"/>
  <c r="AH85" i="3"/>
  <c r="AH91" i="3"/>
  <c r="Z86" i="3"/>
  <c r="AH86" i="3"/>
  <c r="Z93" i="3"/>
  <c r="BN86" i="3"/>
  <c r="BF87" i="3"/>
  <c r="BN91" i="3"/>
  <c r="BF92" i="3"/>
  <c r="AX95" i="3"/>
  <c r="AP95" i="3"/>
  <c r="BS95" i="3" s="1"/>
  <c r="AH89" i="3"/>
  <c r="BF91" i="3"/>
  <c r="Z87" i="3"/>
  <c r="BW68" i="3"/>
  <c r="AH88" i="3"/>
  <c r="Z89" i="3"/>
  <c r="BN93" i="3"/>
  <c r="BN95" i="3"/>
  <c r="AX91" i="3"/>
  <c r="BN85" i="3"/>
  <c r="BF85" i="3"/>
  <c r="AX89" i="3"/>
  <c r="Z95" i="3"/>
  <c r="Z91" i="3"/>
  <c r="CA68" i="3"/>
  <c r="BN88" i="3"/>
  <c r="BN87" i="3"/>
  <c r="BX68" i="3"/>
  <c r="AP88" i="3"/>
  <c r="BS88" i="3" s="1"/>
  <c r="BF93" i="3"/>
  <c r="BN94" i="3"/>
  <c r="BN89" i="3"/>
  <c r="AP85" i="3"/>
  <c r="BS85" i="3" s="1"/>
  <c r="BN92" i="3"/>
  <c r="BZ68" i="3"/>
  <c r="BF88" i="3"/>
  <c r="BZ65" i="3"/>
  <c r="BF90" i="3"/>
  <c r="BF86" i="3"/>
  <c r="AX87" i="3"/>
  <c r="CA65" i="3"/>
  <c r="BN90" i="3"/>
  <c r="AX93" i="3"/>
  <c r="AP87" i="3"/>
  <c r="BS87" i="3" s="1"/>
  <c r="BV11" i="3"/>
  <c r="BW11" i="3"/>
  <c r="BY17" i="3"/>
  <c r="BX17" i="3"/>
  <c r="W12" i="79"/>
  <c r="CA20" i="3"/>
  <c r="BZ20" i="3"/>
  <c r="Z78" i="3"/>
  <c r="H12" i="79" s="1"/>
  <c r="CA17" i="3"/>
  <c r="CA11" i="3"/>
  <c r="BX11" i="3"/>
  <c r="BV17" i="3"/>
  <c r="BW17" i="3"/>
  <c r="BZ17" i="3"/>
  <c r="BX20" i="3"/>
  <c r="BY11" i="3"/>
  <c r="BY20" i="3"/>
  <c r="BZ12" i="3"/>
  <c r="BW20" i="3"/>
  <c r="BZ11" i="3"/>
  <c r="BX12" i="3"/>
  <c r="BV20" i="3"/>
  <c r="BX34" i="3"/>
  <c r="BZ34" i="3"/>
  <c r="CA34" i="3"/>
  <c r="BV34" i="3"/>
  <c r="BW34" i="3"/>
  <c r="BY34" i="3"/>
  <c r="H17" i="79"/>
  <c r="H37" i="79"/>
  <c r="H16" i="79"/>
  <c r="H15" i="79"/>
  <c r="H14" i="79"/>
  <c r="AG19" i="79"/>
  <c r="R21" i="79"/>
  <c r="AG21" i="79"/>
  <c r="H21" i="79"/>
  <c r="W21" i="79"/>
  <c r="M37" i="79"/>
  <c r="M21" i="79"/>
  <c r="M19" i="79"/>
  <c r="W19" i="79"/>
  <c r="R19" i="79"/>
  <c r="H19" i="79"/>
  <c r="W20" i="79"/>
  <c r="M20" i="79"/>
  <c r="AG20" i="79"/>
  <c r="AB20" i="79"/>
  <c r="R20" i="79"/>
  <c r="M41" i="79"/>
  <c r="M36" i="79"/>
  <c r="W40" i="79"/>
  <c r="R40" i="79"/>
  <c r="R44" i="79"/>
  <c r="M18" i="79"/>
  <c r="H18" i="79"/>
  <c r="H40" i="79"/>
  <c r="H36" i="79"/>
  <c r="AG36" i="79"/>
  <c r="AG44" i="79"/>
  <c r="AG40" i="79"/>
  <c r="AG39" i="79"/>
  <c r="AG41" i="79"/>
  <c r="AG18" i="79"/>
  <c r="AB39" i="79"/>
  <c r="AB41" i="79"/>
  <c r="AB22" i="79"/>
  <c r="AB44" i="79"/>
  <c r="AB18" i="79"/>
  <c r="W44" i="79"/>
  <c r="W41" i="79"/>
  <c r="H39" i="79"/>
  <c r="R39" i="79"/>
  <c r="M39" i="79"/>
  <c r="W39" i="79"/>
  <c r="AB36" i="79"/>
  <c r="H41" i="79"/>
  <c r="R41" i="79"/>
  <c r="W22" i="79"/>
  <c r="AG22" i="79"/>
  <c r="H22" i="79"/>
  <c r="R22" i="79"/>
  <c r="AB40" i="79"/>
  <c r="AB33" i="79"/>
  <c r="R18" i="79"/>
  <c r="M40" i="79"/>
  <c r="W36" i="79"/>
  <c r="M33" i="79"/>
  <c r="H33" i="79"/>
  <c r="AG33" i="79"/>
  <c r="M22" i="79"/>
  <c r="W33" i="79"/>
  <c r="M44" i="79"/>
  <c r="R33" i="79"/>
  <c r="H44" i="79"/>
  <c r="BX8" i="3"/>
  <c r="D39" i="79"/>
  <c r="D45" i="79" s="1"/>
  <c r="D37" i="79"/>
  <c r="D38" i="79" s="1"/>
  <c r="D21" i="79"/>
  <c r="D19" i="79"/>
  <c r="D20" i="79"/>
  <c r="AD45" i="79"/>
  <c r="AB17" i="79"/>
  <c r="AA38" i="79"/>
  <c r="Z45" i="79"/>
  <c r="Y38" i="79"/>
  <c r="X38" i="79"/>
  <c r="J45" i="79"/>
  <c r="P38" i="79"/>
  <c r="Z38" i="79"/>
  <c r="F18" i="79"/>
  <c r="X45" i="79"/>
  <c r="AA45" i="79"/>
  <c r="E45" i="79"/>
  <c r="AD38" i="79"/>
  <c r="I45" i="79"/>
  <c r="T45" i="79"/>
  <c r="N38" i="79"/>
  <c r="J38" i="79"/>
  <c r="U38" i="79"/>
  <c r="G38" i="79"/>
  <c r="G45" i="79"/>
  <c r="AC45" i="79"/>
  <c r="AE45" i="79"/>
  <c r="L45" i="79"/>
  <c r="O38" i="79"/>
  <c r="F38" i="79"/>
  <c r="T38" i="79"/>
  <c r="AE38" i="79"/>
  <c r="F45" i="79"/>
  <c r="Q45" i="79"/>
  <c r="V45" i="79"/>
  <c r="U45" i="79"/>
  <c r="AF45" i="79"/>
  <c r="I38" i="79"/>
  <c r="Q38" i="79"/>
  <c r="N45" i="79"/>
  <c r="AC38" i="79"/>
  <c r="S45" i="79"/>
  <c r="K38" i="79"/>
  <c r="L38" i="79"/>
  <c r="E38" i="79"/>
  <c r="Y45" i="79"/>
  <c r="AF38" i="79"/>
  <c r="K45" i="79"/>
  <c r="P45" i="79"/>
  <c r="O45" i="79"/>
  <c r="S38" i="79"/>
  <c r="V38" i="79"/>
  <c r="M15" i="79"/>
  <c r="W16" i="79"/>
  <c r="W15" i="79"/>
  <c r="W14" i="79"/>
  <c r="AG16" i="79"/>
  <c r="R15" i="79"/>
  <c r="AB14" i="79"/>
  <c r="R17" i="79"/>
  <c r="R16" i="79"/>
  <c r="AB16" i="79"/>
  <c r="W17" i="79"/>
  <c r="AG14" i="79"/>
  <c r="M14" i="79"/>
  <c r="AB15" i="79"/>
  <c r="M17" i="79"/>
  <c r="M16" i="79"/>
  <c r="AG15" i="79"/>
  <c r="R14" i="79"/>
  <c r="AG17" i="79"/>
  <c r="AC23" i="79"/>
  <c r="E23" i="79"/>
  <c r="K23" i="79"/>
  <c r="AA23" i="79"/>
  <c r="AF32" i="79"/>
  <c r="K32" i="79"/>
  <c r="J32" i="79"/>
  <c r="T32" i="79"/>
  <c r="N32" i="79"/>
  <c r="S32" i="79"/>
  <c r="L32" i="79"/>
  <c r="U32" i="79"/>
  <c r="I32" i="79"/>
  <c r="V32" i="79"/>
  <c r="Q32" i="79"/>
  <c r="O32" i="79"/>
  <c r="P32" i="79"/>
  <c r="X32" i="79"/>
  <c r="AA32" i="79"/>
  <c r="Z32" i="79"/>
  <c r="Y32" i="79"/>
  <c r="AE32" i="79"/>
  <c r="AD32" i="79"/>
  <c r="AC32" i="79"/>
  <c r="N23" i="79"/>
  <c r="H29" i="79"/>
  <c r="H34" i="79"/>
  <c r="R28" i="79"/>
  <c r="BW21" i="3"/>
  <c r="BW8" i="3"/>
  <c r="BW12" i="3"/>
  <c r="BW18" i="3"/>
  <c r="BW13" i="3"/>
  <c r="BZ8" i="3"/>
  <c r="BY13" i="3"/>
  <c r="BY18" i="3"/>
  <c r="BY8" i="3"/>
  <c r="BY12" i="3"/>
  <c r="BY21" i="3"/>
  <c r="BV8" i="3"/>
  <c r="CA13" i="3"/>
  <c r="CA8" i="3"/>
  <c r="BV12" i="3"/>
  <c r="CA21" i="3"/>
  <c r="CA18" i="3"/>
  <c r="BV21" i="3"/>
  <c r="BV13" i="3"/>
  <c r="BV18" i="3"/>
  <c r="CA12" i="3"/>
  <c r="M43" i="79"/>
  <c r="AB30" i="79"/>
  <c r="W31" i="79"/>
  <c r="R31" i="79"/>
  <c r="H43" i="79"/>
  <c r="AG37" i="79"/>
  <c r="W24" i="79"/>
  <c r="W43" i="79"/>
  <c r="AG30" i="79"/>
  <c r="M26" i="79"/>
  <c r="M34" i="79"/>
  <c r="R27" i="79"/>
  <c r="AB25" i="79"/>
  <c r="R25" i="79"/>
  <c r="W27" i="79"/>
  <c r="AB42" i="79"/>
  <c r="H24" i="79"/>
  <c r="AB13" i="79"/>
  <c r="W26" i="79"/>
  <c r="R37" i="79"/>
  <c r="AB34" i="79"/>
  <c r="R24" i="79"/>
  <c r="AG28" i="79"/>
  <c r="R29" i="79"/>
  <c r="AB31" i="79"/>
  <c r="W34" i="79"/>
  <c r="M29" i="79"/>
  <c r="M30" i="79"/>
  <c r="AG27" i="79"/>
  <c r="H25" i="79"/>
  <c r="AB37" i="79"/>
  <c r="AB43" i="79"/>
  <c r="M13" i="79"/>
  <c r="R26" i="79"/>
  <c r="H42" i="79"/>
  <c r="AG24" i="79"/>
  <c r="AG42" i="79"/>
  <c r="W37" i="79"/>
  <c r="AB19" i="79"/>
  <c r="M25" i="79"/>
  <c r="W30" i="79"/>
  <c r="H31" i="79"/>
  <c r="M24" i="79"/>
  <c r="AB21" i="79"/>
  <c r="W29" i="79"/>
  <c r="W42" i="79"/>
  <c r="AB29" i="79"/>
  <c r="R34" i="79"/>
  <c r="H13" i="79"/>
  <c r="R42" i="79"/>
  <c r="W18" i="79"/>
  <c r="AG13" i="79"/>
  <c r="M31" i="79"/>
  <c r="AB27" i="79"/>
  <c r="AB24" i="79"/>
  <c r="H26" i="79"/>
  <c r="M27" i="79"/>
  <c r="AG34" i="79"/>
  <c r="W25" i="79"/>
  <c r="R36" i="79"/>
  <c r="AG43" i="79"/>
  <c r="AG31" i="79"/>
  <c r="AG26" i="79"/>
  <c r="AG25" i="79"/>
  <c r="AB26" i="79"/>
  <c r="H27" i="79"/>
  <c r="W13" i="79"/>
  <c r="R30" i="79"/>
  <c r="AG29" i="79"/>
  <c r="H30" i="79"/>
  <c r="M42" i="79"/>
  <c r="R43" i="79"/>
  <c r="R13" i="79"/>
  <c r="W28" i="79"/>
  <c r="H28" i="79"/>
  <c r="AB28" i="79"/>
  <c r="M28" i="79"/>
  <c r="AR33" i="3" l="1"/>
  <c r="AR93" i="3" s="1"/>
  <c r="AQ78" i="3"/>
  <c r="BH26" i="3"/>
  <c r="BH93" i="3" s="1"/>
  <c r="BG78" i="3"/>
  <c r="AY78" i="3"/>
  <c r="BP8" i="3"/>
  <c r="BO78" i="3"/>
  <c r="AJ33" i="3"/>
  <c r="AJ93" i="3" s="1"/>
  <c r="AI78" i="3"/>
  <c r="BT108" i="3"/>
  <c r="BT93" i="3"/>
  <c r="BT89" i="3"/>
  <c r="BT110" i="3"/>
  <c r="BT96" i="3"/>
  <c r="BT99" i="3"/>
  <c r="BT88" i="3"/>
  <c r="BZ93" i="3"/>
  <c r="E287" i="82" s="1"/>
  <c r="BT105" i="3"/>
  <c r="CA93" i="3" s="1"/>
  <c r="E287" i="81" s="1"/>
  <c r="BT90" i="3"/>
  <c r="BT101" i="3"/>
  <c r="BT104" i="3"/>
  <c r="BT107" i="3"/>
  <c r="BT112" i="3"/>
  <c r="BT85" i="3"/>
  <c r="BZ87" i="3"/>
  <c r="E83" i="82" s="1"/>
  <c r="BT87" i="3"/>
  <c r="CA87" i="3" s="1"/>
  <c r="E83" i="81" s="1"/>
  <c r="BT109" i="3"/>
  <c r="BT111" i="3"/>
  <c r="BZ88" i="3"/>
  <c r="E117" i="82" s="1"/>
  <c r="BT92" i="3"/>
  <c r="CA88" i="3" s="1"/>
  <c r="E117" i="81" s="1"/>
  <c r="BT91" i="3"/>
  <c r="BZ90" i="3"/>
  <c r="E185" i="82" s="1"/>
  <c r="BT94" i="3"/>
  <c r="CA90" i="3" s="1"/>
  <c r="E185" i="81" s="1"/>
  <c r="BT113" i="3"/>
  <c r="BT106" i="3"/>
  <c r="BZ86" i="3"/>
  <c r="E49" i="82" s="1"/>
  <c r="BT86" i="3"/>
  <c r="CA86" i="3" s="1"/>
  <c r="E49" i="81" s="1"/>
  <c r="BT98" i="3"/>
  <c r="BT100" i="3"/>
  <c r="BT97" i="3"/>
  <c r="BZ96" i="3"/>
  <c r="E389" i="82" s="1"/>
  <c r="BT103" i="3"/>
  <c r="CA96" i="3" s="1"/>
  <c r="E389" i="81" s="1"/>
  <c r="BT95" i="3"/>
  <c r="BZ95" i="3"/>
  <c r="E355" i="82" s="1"/>
  <c r="BT102" i="3"/>
  <c r="CA95" i="3" s="1"/>
  <c r="E355" i="81" s="1"/>
  <c r="AB85" i="3"/>
  <c r="AB121" i="3" s="1"/>
  <c r="BO85" i="3"/>
  <c r="BO121" i="3" s="1"/>
  <c r="BG85" i="3"/>
  <c r="BG121" i="3" s="1"/>
  <c r="AY85" i="3"/>
  <c r="AY121" i="3" s="1"/>
  <c r="AQ85" i="3"/>
  <c r="AQ121" i="3" s="1"/>
  <c r="AI85" i="3"/>
  <c r="AI121" i="3" s="1"/>
  <c r="CE89" i="3"/>
  <c r="BR93" i="3"/>
  <c r="BZ92" i="3"/>
  <c r="E253" i="82" s="1"/>
  <c r="CE88" i="3"/>
  <c r="CE87" i="3"/>
  <c r="BR109" i="3"/>
  <c r="BR113" i="3"/>
  <c r="BR89" i="3"/>
  <c r="BR90" i="3"/>
  <c r="BR98" i="3"/>
  <c r="BR111" i="3"/>
  <c r="BR108" i="3"/>
  <c r="BR103" i="3"/>
  <c r="BY96" i="3" s="1"/>
  <c r="E389" i="80" s="1"/>
  <c r="BR99" i="3"/>
  <c r="BR104" i="3"/>
  <c r="BR102" i="3"/>
  <c r="BY95" i="3" s="1"/>
  <c r="E355" i="80" s="1"/>
  <c r="BR100" i="3"/>
  <c r="BR97" i="3"/>
  <c r="BR106" i="3"/>
  <c r="BR95" i="3"/>
  <c r="BR91" i="3"/>
  <c r="BR96" i="3"/>
  <c r="BR107" i="3"/>
  <c r="BZ89" i="3"/>
  <c r="E151" i="82" s="1"/>
  <c r="BR88" i="3"/>
  <c r="BR92" i="3"/>
  <c r="BY88" i="3" s="1"/>
  <c r="E117" i="80" s="1"/>
  <c r="BR110" i="3"/>
  <c r="BR86" i="3"/>
  <c r="BY86" i="3" s="1"/>
  <c r="E49" i="80" s="1"/>
  <c r="BR112" i="3"/>
  <c r="BR101" i="3"/>
  <c r="BR105" i="3"/>
  <c r="BY93" i="3" s="1"/>
  <c r="E287" i="80" s="1"/>
  <c r="BR87" i="3"/>
  <c r="BY87" i="3" s="1"/>
  <c r="E83" i="80" s="1"/>
  <c r="BZ97" i="3"/>
  <c r="E423" i="82" s="1"/>
  <c r="BR94" i="3"/>
  <c r="BY90" i="3" s="1"/>
  <c r="E185" i="80" s="1"/>
  <c r="BZ94" i="3"/>
  <c r="E321" i="82" s="1"/>
  <c r="BZ91" i="3"/>
  <c r="E219" i="82" s="1"/>
  <c r="AP121" i="3"/>
  <c r="BZ85" i="3"/>
  <c r="E15" i="82" s="1"/>
  <c r="BR85" i="3"/>
  <c r="Z121" i="3"/>
  <c r="AX121" i="3"/>
  <c r="BF121" i="3"/>
  <c r="BN121" i="3"/>
  <c r="AH121" i="3"/>
  <c r="E29" i="79"/>
  <c r="E32" i="79" s="1"/>
  <c r="D23" i="79"/>
  <c r="G29" i="79"/>
  <c r="G32" i="79" s="1"/>
  <c r="AB38" i="79"/>
  <c r="F29" i="79"/>
  <c r="F32" i="79" s="1"/>
  <c r="AB45" i="79"/>
  <c r="W38" i="79"/>
  <c r="M45" i="79"/>
  <c r="H32" i="79"/>
  <c r="M23" i="79"/>
  <c r="H45" i="79"/>
  <c r="AG38" i="79"/>
  <c r="M38" i="79"/>
  <c r="H38" i="79"/>
  <c r="R45" i="79"/>
  <c r="AG45" i="79"/>
  <c r="R38" i="79"/>
  <c r="W45" i="79"/>
  <c r="J23" i="79"/>
  <c r="P23" i="79"/>
  <c r="S23" i="79"/>
  <c r="T23" i="79"/>
  <c r="V23" i="79"/>
  <c r="AF23" i="79"/>
  <c r="U23" i="79"/>
  <c r="Q23" i="79"/>
  <c r="F23" i="79"/>
  <c r="L23" i="79"/>
  <c r="AE23" i="79"/>
  <c r="G23" i="79"/>
  <c r="X23" i="79"/>
  <c r="O23" i="79"/>
  <c r="Y23" i="79"/>
  <c r="Z23" i="79"/>
  <c r="AD23" i="79"/>
  <c r="I23" i="79"/>
  <c r="AH37" i="79"/>
  <c r="AB32" i="79"/>
  <c r="AG32" i="79"/>
  <c r="R32" i="79"/>
  <c r="W32" i="79"/>
  <c r="M32" i="79"/>
  <c r="D29" i="79"/>
  <c r="D32" i="79" s="1"/>
  <c r="AH20" i="79"/>
  <c r="AH13" i="79"/>
  <c r="AH30" i="79"/>
  <c r="AH21" i="79"/>
  <c r="AH19" i="79"/>
  <c r="AH42" i="79"/>
  <c r="AH44" i="79"/>
  <c r="AH28" i="79"/>
  <c r="AH43" i="79"/>
  <c r="AH41" i="79"/>
  <c r="AH40" i="79"/>
  <c r="AH39" i="79"/>
  <c r="AH31" i="79"/>
  <c r="AH29" i="79"/>
  <c r="AH36" i="79"/>
  <c r="AH34" i="79"/>
  <c r="AH33" i="79"/>
  <c r="AH27" i="79"/>
  <c r="AH26" i="79"/>
  <c r="AH25" i="79"/>
  <c r="AH22" i="79"/>
  <c r="AH18" i="79"/>
  <c r="AH12" i="79"/>
  <c r="AH24" i="79"/>
  <c r="H20" i="79"/>
  <c r="AZ85" i="3" l="1"/>
  <c r="AZ93" i="3"/>
  <c r="BP78" i="3"/>
  <c r="BP100" i="3"/>
  <c r="AZ78" i="3"/>
  <c r="AZ100" i="3"/>
  <c r="BH78" i="3"/>
  <c r="BH100" i="3"/>
  <c r="AJ78" i="3"/>
  <c r="AJ100" i="3"/>
  <c r="AR78" i="3"/>
  <c r="AR100" i="3"/>
  <c r="AR85" i="3"/>
  <c r="BH85" i="3"/>
  <c r="AJ85" i="3"/>
  <c r="BP85" i="3"/>
  <c r="CF89" i="3"/>
  <c r="BY89" i="3"/>
  <c r="E151" i="80" s="1"/>
  <c r="CD86" i="3"/>
  <c r="CA92" i="3"/>
  <c r="E253" i="81" s="1"/>
  <c r="CF88" i="3"/>
  <c r="CD87" i="3"/>
  <c r="CF86" i="3"/>
  <c r="BY92" i="3"/>
  <c r="E253" i="80" s="1"/>
  <c r="CD88" i="3"/>
  <c r="CD89" i="3"/>
  <c r="CF87" i="3"/>
  <c r="CE86" i="3"/>
  <c r="CE90" i="3" s="1"/>
  <c r="I7" i="82"/>
  <c r="BY94" i="3"/>
  <c r="E321" i="80" s="1"/>
  <c r="BZ121" i="3"/>
  <c r="BY91" i="3"/>
  <c r="E219" i="80" s="1"/>
  <c r="CA89" i="3"/>
  <c r="E151" i="81" s="1"/>
  <c r="BY97" i="3"/>
  <c r="E423" i="80" s="1"/>
  <c r="CA97" i="3"/>
  <c r="E423" i="81" s="1"/>
  <c r="CA94" i="3"/>
  <c r="E321" i="81" s="1"/>
  <c r="CA91" i="3"/>
  <c r="E219" i="81" s="1"/>
  <c r="BS121" i="3"/>
  <c r="CA85" i="3"/>
  <c r="E15" i="81" s="1"/>
  <c r="BT121" i="3"/>
  <c r="BY85" i="3"/>
  <c r="E15" i="80" s="1"/>
  <c r="BR121" i="3"/>
  <c r="H23" i="79"/>
  <c r="AH14" i="79"/>
  <c r="AG23" i="79"/>
  <c r="AH17" i="79"/>
  <c r="R23" i="79"/>
  <c r="AB23" i="79"/>
  <c r="W23" i="79"/>
  <c r="AH16" i="79"/>
  <c r="AH15" i="79"/>
  <c r="AH45" i="79"/>
  <c r="AH32" i="79"/>
  <c r="AH38" i="79"/>
  <c r="AZ121" i="3" l="1"/>
  <c r="BP121" i="3"/>
  <c r="AR121" i="3"/>
  <c r="AJ121" i="3"/>
  <c r="BH121" i="3"/>
  <c r="CD90" i="3"/>
  <c r="CF90" i="3"/>
  <c r="I7" i="80"/>
  <c r="I7" i="81"/>
  <c r="CA121" i="3"/>
  <c r="BY121" i="3"/>
  <c r="D46" i="79"/>
  <c r="S46" i="79"/>
  <c r="Q46" i="79"/>
  <c r="AC46" i="79"/>
  <c r="AF46" i="79"/>
  <c r="N46" i="79"/>
  <c r="Z46" i="79"/>
  <c r="L46" i="79"/>
  <c r="F46" i="79"/>
  <c r="T46" i="79"/>
  <c r="H46" i="79"/>
  <c r="I46" i="79"/>
  <c r="R46" i="79"/>
  <c r="AE46" i="79"/>
  <c r="O46" i="79"/>
  <c r="U46" i="79"/>
  <c r="P46" i="79"/>
  <c r="AB46" i="79"/>
  <c r="W46" i="79"/>
  <c r="G46" i="79"/>
  <c r="V46" i="79"/>
  <c r="Y46" i="79"/>
  <c r="M46" i="79"/>
  <c r="E46" i="79"/>
  <c r="AA46" i="79"/>
  <c r="K46" i="79"/>
  <c r="X46" i="79"/>
  <c r="AD46" i="79"/>
  <c r="J46" i="79"/>
  <c r="AH23" i="79"/>
  <c r="AG46" i="79"/>
  <c r="M48" i="79" l="1"/>
  <c r="AH46" i="79"/>
  <c r="AU46" i="79" l="1"/>
  <c r="AT46" i="79"/>
  <c r="AV23" i="79"/>
  <c r="AS46" i="79"/>
  <c r="AR46" i="79"/>
  <c r="AV46" i="79" l="1"/>
  <c r="AA85" i="3" l="1"/>
  <c r="AA121" i="3" s="1"/>
  <c r="B72" i="3" l="1"/>
  <c r="B73" i="3" s="1"/>
  <c r="B74" i="3" s="1"/>
  <c r="B75" i="3" s="1"/>
  <c r="B76" i="3" s="1"/>
  <c r="B77" i="3" s="1"/>
  <c r="B20" i="3"/>
  <c r="B21" i="3" s="1"/>
  <c r="B27" i="3" s="1"/>
  <c r="B28" i="3" s="1"/>
  <c r="B46" i="3"/>
  <c r="B47" i="3" s="1"/>
  <c r="B50" i="3" s="1"/>
  <c r="B48" i="3" s="1"/>
  <c r="B12" i="3"/>
  <c r="B13" i="3" s="1"/>
  <c r="B51" i="3" l="1"/>
  <c r="B61" i="3" l="1"/>
  <c r="B62" i="3" s="1"/>
  <c r="B52" i="3"/>
  <c r="B53" i="3" l="1"/>
  <c r="B54" i="3" s="1"/>
  <c r="B43" i="3" l="1"/>
  <c r="B44" i="3"/>
</calcChain>
</file>

<file path=xl/sharedStrings.xml><?xml version="1.0" encoding="utf-8"?>
<sst xmlns="http://schemas.openxmlformats.org/spreadsheetml/2006/main" count="2751" uniqueCount="289">
  <si>
    <t>VILLAMARÍA</t>
  </si>
  <si>
    <t>INSTITUCION EDUCATIVA PIO XII - SEDE PRINCIPAL</t>
  </si>
  <si>
    <t>INSTITUCION EDUCATIVA PIO XII</t>
  </si>
  <si>
    <t>INSTITUCION EDUCATIVA SAN PABLO - SEDE PRINCIPAL</t>
  </si>
  <si>
    <t>INSTITUCION EDUCATIVA SAN PABLO</t>
  </si>
  <si>
    <t>VICTORIA</t>
  </si>
  <si>
    <t>ESCUELA SANTA CECILIA</t>
  </si>
  <si>
    <t>INSTITUCION EDUCATIVA ISAZA - SEDE PRINCIPAL</t>
  </si>
  <si>
    <t>INSTITUCION EDUCATIVA ISAZA</t>
  </si>
  <si>
    <t>SAMANÁ</t>
  </si>
  <si>
    <t>INSTITUCION EDUCATIVA SAN AGUSTIN</t>
  </si>
  <si>
    <t>ESCUELA FRANCISCO JOSÉ DE CALDAS</t>
  </si>
  <si>
    <t>INSTITUCION EDUCATIVA BERLIN</t>
  </si>
  <si>
    <t>ESCUELA CRISTOBAL COLÓN</t>
  </si>
  <si>
    <t>PENSILVANIA</t>
  </si>
  <si>
    <t>PALESTINA</t>
  </si>
  <si>
    <t>INSTITUCION EDUCATIVA SANTAGUEDA</t>
  </si>
  <si>
    <t>NORCASIA</t>
  </si>
  <si>
    <t>NEIRA</t>
  </si>
  <si>
    <t>MARULANDA</t>
  </si>
  <si>
    <t>MARQUETALIA</t>
  </si>
  <si>
    <t>MANZANARES</t>
  </si>
  <si>
    <t>ESCUELA SANTA TERESITA</t>
  </si>
  <si>
    <t>LA DORADA</t>
  </si>
  <si>
    <t>CHINCHINÁ</t>
  </si>
  <si>
    <t>SEDE</t>
  </si>
  <si>
    <t>INSTITUCION</t>
  </si>
  <si>
    <t>MUNICIPIO</t>
  </si>
  <si>
    <t>TOTAL</t>
  </si>
  <si>
    <t>RUTA</t>
  </si>
  <si>
    <t>TOTAL RUTA</t>
  </si>
  <si>
    <t>N°</t>
  </si>
  <si>
    <t>ANSERMA</t>
  </si>
  <si>
    <t>BELALCÁZAR</t>
  </si>
  <si>
    <t>RISARALDA</t>
  </si>
  <si>
    <t>SAN JOSÉ</t>
  </si>
  <si>
    <t>VITERBO</t>
  </si>
  <si>
    <t>ESCUELA NORMAL SUPERIOR CLAUDINA MÚNERA (ANEXA)</t>
  </si>
  <si>
    <t>AGUADAS</t>
  </si>
  <si>
    <t>INSTITUCION EDUCATIVA LICEO CLAUDINA MUNERA</t>
  </si>
  <si>
    <t>INSTITUCION EDUCATIVA MARINO GOMEZ ESTRADA</t>
  </si>
  <si>
    <t>PÁCORA</t>
  </si>
  <si>
    <t>INSTITUCION EDUCATIVA DE LA PRESENTACION - SEDE PRINCIPAL</t>
  </si>
  <si>
    <t>SALAMINA</t>
  </si>
  <si>
    <t>INSTITUCION EDUCATIVA DE LA PRESENTACION</t>
  </si>
  <si>
    <t>ARANZAZU</t>
  </si>
  <si>
    <t>APS - R1</t>
  </si>
  <si>
    <t>APS - R2</t>
  </si>
  <si>
    <t>APS - R3</t>
  </si>
  <si>
    <t>APS - R4</t>
  </si>
  <si>
    <t>CERDO 1</t>
  </si>
  <si>
    <t>CERDO 2</t>
  </si>
  <si>
    <t>POLLO 1</t>
  </si>
  <si>
    <t>POLLO 2</t>
  </si>
  <si>
    <t>RES</t>
  </si>
  <si>
    <t>R1</t>
  </si>
  <si>
    <t>R2</t>
  </si>
  <si>
    <t>R3</t>
  </si>
  <si>
    <t>R4</t>
  </si>
  <si>
    <t>PRESENTACIÓN</t>
  </si>
  <si>
    <t>g</t>
  </si>
  <si>
    <t>FILADELFIA</t>
  </si>
  <si>
    <t>LA MERCED</t>
  </si>
  <si>
    <t>SUPÍA</t>
  </si>
  <si>
    <t>MUNICIPIOS</t>
  </si>
  <si>
    <t>TOTAL MÓDULO I</t>
  </si>
  <si>
    <t>MARMATO</t>
  </si>
  <si>
    <t>RIOSUCIO</t>
  </si>
  <si>
    <t>TOTAL MÓDULO III</t>
  </si>
  <si>
    <t>TOTAL DPTO</t>
  </si>
  <si>
    <t>POLLO</t>
  </si>
  <si>
    <t>DIF</t>
  </si>
  <si>
    <t>DIFERENCIAL</t>
  </si>
  <si>
    <t>X</t>
  </si>
  <si>
    <t>APS</t>
  </si>
  <si>
    <t>A</t>
  </si>
  <si>
    <t>U</t>
  </si>
  <si>
    <t>DÍAS</t>
  </si>
  <si>
    <t>ROJA</t>
  </si>
  <si>
    <t>POLLO DIF</t>
  </si>
  <si>
    <t>ROJA DIF</t>
  </si>
  <si>
    <t>ESTÁNDAR</t>
  </si>
  <si>
    <t>RIOSUCIO DIF</t>
  </si>
  <si>
    <t>TOTAL NORTE</t>
  </si>
  <si>
    <t>TOTAL OCC. PRÓSPERO</t>
  </si>
  <si>
    <t>x</t>
  </si>
  <si>
    <t>OBSERVACIÓN</t>
  </si>
  <si>
    <t>CUPOS</t>
  </si>
  <si>
    <t>CONSECUTIVO</t>
  </si>
  <si>
    <t>FECHA DE EXPEDICIÓN</t>
  </si>
  <si>
    <t>NÚMERO</t>
  </si>
  <si>
    <r>
      <t xml:space="preserve">1. IDENTIFICACIÓN DE LA </t>
    </r>
    <r>
      <rPr>
        <b/>
        <sz val="12"/>
        <color theme="1"/>
        <rFont val="Arial"/>
        <family val="2"/>
      </rPr>
      <t>PROCEDENCIA DE LA MATERIA PRIMA CÁRNICA</t>
    </r>
  </si>
  <si>
    <t>Razón social</t>
  </si>
  <si>
    <t>Código INVIMA</t>
  </si>
  <si>
    <t>Departamento</t>
  </si>
  <si>
    <t>Municipio</t>
  </si>
  <si>
    <t>Dirección o ubicación</t>
  </si>
  <si>
    <t>Teléfono</t>
  </si>
  <si>
    <t>Fecha (dd/mm/aaaa) de ingreso a la planta</t>
  </si>
  <si>
    <t>Hora (hh:mm) de ingreso a la planta</t>
  </si>
  <si>
    <t>2. TIPO DE PRODUCTO QUE SE VA A DESPACHAR</t>
  </si>
  <si>
    <t>Id.</t>
  </si>
  <si>
    <t>Producto</t>
  </si>
  <si>
    <t>Especie</t>
  </si>
  <si>
    <t>Unidades</t>
  </si>
  <si>
    <t>Peso del producto (kg.)</t>
  </si>
  <si>
    <t>Temperatura de despacho (°C)</t>
  </si>
  <si>
    <t>Carne deshuesada</t>
  </si>
  <si>
    <t>Otros:</t>
  </si>
  <si>
    <t>3. VEHÍCULO TRANSPORTADOR</t>
  </si>
  <si>
    <t>Tipo de vehículo</t>
  </si>
  <si>
    <t>Nombre del conductor</t>
  </si>
  <si>
    <t>Placas</t>
  </si>
  <si>
    <t>Cédula de Ciudadanía</t>
  </si>
  <si>
    <t>Fecha (dd/mm/aaaa) de salida</t>
  </si>
  <si>
    <t>Hora (hh:mm) de salida</t>
  </si>
  <si>
    <t>4. DESTINO (BODEGA)</t>
  </si>
  <si>
    <t xml:space="preserve">Nombre de quien recibe </t>
  </si>
  <si>
    <t xml:space="preserve">Teléfono </t>
  </si>
  <si>
    <t>Fecha (dd/mm/aaaa)</t>
  </si>
  <si>
    <t>Hora (hh:mm)</t>
  </si>
  <si>
    <t>5. INFORMACIÓN DE LA PERSONA RESPONSABLE</t>
  </si>
  <si>
    <t>Cargo</t>
  </si>
  <si>
    <t>Firma</t>
  </si>
  <si>
    <t>CALDAS</t>
  </si>
  <si>
    <t>320 827 9947</t>
  </si>
  <si>
    <t>BODEGA</t>
  </si>
  <si>
    <t>SAMANÁ (BERLÍN)</t>
  </si>
  <si>
    <t>SAMANÁ (FLORENCIA)</t>
  </si>
  <si>
    <t>SAMANÁ (SAN DIEGO)</t>
  </si>
  <si>
    <t>FACTURA</t>
  </si>
  <si>
    <t>Pollo despresado</t>
  </si>
  <si>
    <t>Pechuga</t>
  </si>
  <si>
    <t>Presa</t>
  </si>
  <si>
    <t/>
  </si>
  <si>
    <t>SUMINISTROS Y LOGÍSTICA DE ORIENTE S.A.S</t>
  </si>
  <si>
    <t>CARRERA 11 No 17-19</t>
  </si>
  <si>
    <t>CÓDIGO INVIMA: 170AC</t>
  </si>
  <si>
    <t>170AC</t>
  </si>
  <si>
    <t>Dirección</t>
  </si>
  <si>
    <t>CRA 11 # 17-19 EL CABRERO</t>
  </si>
  <si>
    <t>CRA 5 # 14-12</t>
  </si>
  <si>
    <t>CALLE 7 # 6-17</t>
  </si>
  <si>
    <t>CASA DE ENCUENTRO PADRE DANIEL MARIA LÓPEZ</t>
  </si>
  <si>
    <t>CRA 4 # 18-00</t>
  </si>
  <si>
    <t>CRA 2 A 32-36</t>
  </si>
  <si>
    <t>CALLE 10 # 11-41</t>
  </si>
  <si>
    <t>CRA 4 # 24 - 103</t>
  </si>
  <si>
    <t>LA HABANA, MANZANA 1 CASA 8</t>
  </si>
  <si>
    <t>CRA 7 ENTRE CALLE 13 Y 14</t>
  </si>
  <si>
    <t>VDA EL CARRETERO, FINCA MATEGUADUA</t>
  </si>
  <si>
    <t>MANIZALES</t>
  </si>
  <si>
    <t>CLL 118 # 25-61 KM 13 VIA AL MAGDALENA CONTINUA A LA ESTACION DE TERPEL</t>
  </si>
  <si>
    <t>Dirección Bodega</t>
  </si>
  <si>
    <t>1C</t>
  </si>
  <si>
    <t>Carrera 5 #4 - 03</t>
  </si>
  <si>
    <t>POLLO 3</t>
  </si>
  <si>
    <t>CERDO</t>
  </si>
  <si>
    <t>Nombre Responsable en Planta</t>
  </si>
  <si>
    <t>ANALISTA DE CALIDAD</t>
  </si>
  <si>
    <t>N° BODEGA</t>
  </si>
  <si>
    <t>GUÍAS</t>
  </si>
  <si>
    <t>BODEGAS</t>
  </si>
  <si>
    <t>DÍAS DIFERENCIAL</t>
  </si>
  <si>
    <t>DÍAS ESTÁNDAR</t>
  </si>
  <si>
    <t>ETIQUETAS</t>
  </si>
  <si>
    <t>CER</t>
  </si>
  <si>
    <t>MÓDULO</t>
  </si>
  <si>
    <t>MENÚ</t>
  </si>
  <si>
    <t>CANT. SEDES</t>
  </si>
  <si>
    <t>DORA1400</t>
  </si>
  <si>
    <t>DANNY ARNULFO RODRÍGUEZ RAMÍREZ</t>
  </si>
  <si>
    <t>24</t>
  </si>
  <si>
    <t>BOLSAS</t>
  </si>
  <si>
    <t>PESO</t>
  </si>
  <si>
    <t>PRESENTACIÓN BOLSA</t>
  </si>
  <si>
    <t>SUBTOTALES</t>
  </si>
  <si>
    <t>VIERNES</t>
  </si>
  <si>
    <t>MIÉRCOLES</t>
  </si>
  <si>
    <t>--</t>
  </si>
  <si>
    <t>JUEVES</t>
  </si>
  <si>
    <t>G0</t>
  </si>
  <si>
    <t>G1</t>
  </si>
  <si>
    <t>G2</t>
  </si>
  <si>
    <t>G3</t>
  </si>
  <si>
    <t>G4</t>
  </si>
  <si>
    <t>INSTITUCION EDUCATIVA ESCUELA  NORMAL SUPERIOR CLAUDINA MUNERA</t>
  </si>
  <si>
    <t>INSTITUCION EDUCATIVA ESCUELA  NORMAL SUPERIOR CLAUDINA MUNERA - SEDE PRINCIPAL</t>
  </si>
  <si>
    <t>INSTITUCION EDUCATIVA PIO XI</t>
  </si>
  <si>
    <t>ESCUELA MANUEL GUTIERREZ ROBLEDO</t>
  </si>
  <si>
    <t>INSTITUCION EDUCATIVA DORADA</t>
  </si>
  <si>
    <t>ESCUELA KENNEDY</t>
  </si>
  <si>
    <t>ESCUELA POLICARPA SALAVARRIETA</t>
  </si>
  <si>
    <t>INSTITUCION EDUCATIVA GUARINOCITO</t>
  </si>
  <si>
    <t>INSTITUCION EDUCATIVA GUARINOCITO - SEDE PRINCIPAL</t>
  </si>
  <si>
    <t>INSTITUCION EDUCATIVA MARCO FIDEL SUAREZ</t>
  </si>
  <si>
    <t>INSTITUCION EDUCATIVA MARCO FIDEL SUAREZ - SEDE PRINCIPAL</t>
  </si>
  <si>
    <t>INSTITUCION EDUCATIVA NUESTRA SEÑORA DEL CARMEN</t>
  </si>
  <si>
    <t>ESCUELA ANTONIO JOSE DE SUCRE</t>
  </si>
  <si>
    <t>ESCUELA JOSE ANTONIO GALAN</t>
  </si>
  <si>
    <t>ESCUELA SAN VICENTE DE PAUL</t>
  </si>
  <si>
    <t>INSTITUCION EDUCATIVA PURNIO</t>
  </si>
  <si>
    <t>INSTITUCION EDUCATIVA PURNIO - SEDE PRINCIPAL</t>
  </si>
  <si>
    <t>INSTITUCIÓN EDUCATIVA RENÁN BARCO - JUAN PABLO II- SEDE PRINCIPAL</t>
  </si>
  <si>
    <t>CONCENTRACIÓN ESCOLAR LAS FERIAS</t>
  </si>
  <si>
    <t>INSTITUCION EDUCATIVA GREGORIO GUTIERREZ GONZALEZ</t>
  </si>
  <si>
    <t>INSTITUCION EDUCATIVA GREGORIO GUTIERREZ GONZALEZ - SEDE PRINCIPAL</t>
  </si>
  <si>
    <t>INSTITUCION EDUCATIVA ESCUELA NORMAL SUPERIOR NUESTRA SENORA DE LA CANDELARIA</t>
  </si>
  <si>
    <t>INSTITUCION EDUCATIVA SAN GERARDO MARIA MAYELA</t>
  </si>
  <si>
    <t>INSTITUCIÓN EDUCATIVA SAN GERARDO MARIA MAYELA - SEDE PRINCIPAL</t>
  </si>
  <si>
    <t>INSTITUCION EDUCATIVA ESCUELA NORMAL SUPERIOR SAN JOSE</t>
  </si>
  <si>
    <t>INSTITUCION EDUCATIVA ESCUELA NORMAL SUPERIOR SAN JOSE - SEDE PRINCIPAL</t>
  </si>
  <si>
    <t>ESCUELA NUESTRA SEÑORA DE LOURDES</t>
  </si>
  <si>
    <t>INSTITUCION EDUCATIVA LA SAGRADA FAMILIA</t>
  </si>
  <si>
    <t>CENTRO EDUCATIVO ANTONIO NARIÑO</t>
  </si>
  <si>
    <t>INSTITUCION EDUCATIVA MONSEÑOR ALFONSO DE LOS RIOS</t>
  </si>
  <si>
    <t>ESCUELA BERNARDO MEJIA RIVERA</t>
  </si>
  <si>
    <t>INSTITUCION EDUCATIVA SANTAGUEDA - SEDE PRINCIPAL</t>
  </si>
  <si>
    <t>INSTITUCION EDUCATIVA ESCUELA NORMAL SUPERIOR DE LA PRESENTACION</t>
  </si>
  <si>
    <t>ESCUELA ANEXA SANTA IMELDA</t>
  </si>
  <si>
    <t>INSTITUCION EDUCATIVA PENSILVANIA</t>
  </si>
  <si>
    <t>CONCENTRACIÓN ESCOLAR BOYACA</t>
  </si>
  <si>
    <t>INSTITUCIÓN EDUCATIVA PENSILVANIA - SEDE PRINCIPAL</t>
  </si>
  <si>
    <t>INSTITUCION EDUCATIVA SANTA LUISA DE MARILLAC</t>
  </si>
  <si>
    <t>INSTITUCION EDUCATIVA SANTA LUISA DE MARILLAC - SEDE PRINCIPAL</t>
  </si>
  <si>
    <t>INSTITUCION EDUCATIVA RENAN BARCO - SEDE PRINCIPAL</t>
  </si>
  <si>
    <t>INSTITUCION EDUCATIVA TÉCNICA ALFONSO LOPEZ</t>
  </si>
  <si>
    <t>ESCUELA MIGUEL DE CERVANTES SAAVEDRA</t>
  </si>
  <si>
    <t>INSTITUCION EDUCATIVA ESCUELA NORMAL SUPERIOR NUESTRA SENORA DE LA CANDELARIA - SEDE PRINCIPAL</t>
  </si>
  <si>
    <t>INSTITUCION EDUCATIVA SAN AGUSTIN - SEDE PRINCIPAL</t>
  </si>
  <si>
    <t>INSTITUCION EDUCATIVA BARTOLOME MITRE</t>
  </si>
  <si>
    <t>INSTITUCION EDUCATIVA BARTOLOME MITRE - SEDE PRINCIPAL</t>
  </si>
  <si>
    <t>U1</t>
  </si>
  <si>
    <t>INSTITUCION EDUCATIVA AURELIANO FLOREZ CARDONA</t>
  </si>
  <si>
    <t>CENTRO EDUCATIVO SIMON BOLIVAR</t>
  </si>
  <si>
    <t>INSTITUCION EDUCATIVA EL HORRO</t>
  </si>
  <si>
    <t>SEDE EL PARAISO</t>
  </si>
  <si>
    <t>INSTITUCION EDUCATIVA CRISTO REY</t>
  </si>
  <si>
    <t>CENTRO DOCENTE MANUELA BELTRAN</t>
  </si>
  <si>
    <t>ESCUELA RAFAEL POMBO</t>
  </si>
  <si>
    <t>INSTITUCION EDUCATIVA EL MADROÑO</t>
  </si>
  <si>
    <t>INSTITUCION EDUCATIVA EL MADROÑO - SEDE PRINCIPAL</t>
  </si>
  <si>
    <t>INSTITUCION EDUCATIVA LA FELISA</t>
  </si>
  <si>
    <t>INSTITUCION EDUCATIVA LA FELISA - SEDE PRINCIPAL</t>
  </si>
  <si>
    <t>INSTITUCION EDUCATIVA MONSEÑOR ANTONIO JOSE GIRALDO GOMEZ</t>
  </si>
  <si>
    <t>INSTITUCION EDUCATIVA MONSEÑOR ANTONIO JOSE GIRALDO GOMEZ - SEDE PRINCIPAL</t>
  </si>
  <si>
    <t>INSTITUCION EDUCATIVA EL LLANO</t>
  </si>
  <si>
    <t>INSTITUCION EDUCATIVA EL LLANO - SEDE PRINCIPAL</t>
  </si>
  <si>
    <t xml:space="preserve">  4 SUPIA</t>
  </si>
  <si>
    <t>INSTITUCION EDUCATIVA GENERAL RAMON MARIN</t>
  </si>
  <si>
    <t>INSTITUCION EDUCATIVA MARMATO</t>
  </si>
  <si>
    <t>ESCUELA MAXIMILIANO GRILLO</t>
  </si>
  <si>
    <t>INSTITUCION EDUCATIVA ESCUELA NORMAL SUPERIOR SAGRADO CORAZON</t>
  </si>
  <si>
    <t>INSTITUCION EDUCATIVA ESCUELA NORMAL SUPERIOR SAGRADO CORAZON - SEDE PRINCIPAL</t>
  </si>
  <si>
    <t>INSTITUCION EDUCATIVA RIOSUCIO</t>
  </si>
  <si>
    <t>ESCUELA FRANCISCO DE PAULA SANTANDER</t>
  </si>
  <si>
    <t>ESCUELA INTEGRADA TUMBABARRETO</t>
  </si>
  <si>
    <t>INSTITUCION EDUCATIVA SANTA TERESITA</t>
  </si>
  <si>
    <t>INSTITUCION EDUCATIVA SANTA TERESITA - SEDE PRINCIPAL</t>
  </si>
  <si>
    <t>INSTITUCION EDUCATIVA FRANCISCO JOSE DE CALDAS</t>
  </si>
  <si>
    <t>ESCUELA NATIVIDAD MONTAÑO</t>
  </si>
  <si>
    <t>INSTITUCION EDUCATIVA FRANCISCO JOSE DE CALDAS - SEDE PRINCIPAL</t>
  </si>
  <si>
    <t xml:space="preserve">  1.B</t>
  </si>
  <si>
    <t>INSTITUCION EDUCATIVA OBISPO</t>
  </si>
  <si>
    <t>INSTITUCION EDUCATIVA OBISPO - SEDE PRINCIPAL</t>
  </si>
  <si>
    <t>INSTITUCION EDUCATIVA SAN VICTOR</t>
  </si>
  <si>
    <t>INSTITUCION EDUCATIVA SAN VICTOR - SEDE PRINCIPAL</t>
  </si>
  <si>
    <t>INSTITUCION EDUCATIVA SUPIA</t>
  </si>
  <si>
    <t>POLICARPA SALAVARRIETA</t>
  </si>
  <si>
    <t>INSTITUCION EDUCATIVA LA MILAGROSA</t>
  </si>
  <si>
    <t>CONCENTRACIÓN ESCOLAR RAFAEL POMBO</t>
  </si>
  <si>
    <t>INSTITUCION EDUCATIVA NAZARIO RESTREPO</t>
  </si>
  <si>
    <t>CONCENTRACIÓN MARCO FIDEL SUAREZ</t>
  </si>
  <si>
    <t>ESCUELA ANTONIO NARIÑO</t>
  </si>
  <si>
    <t>INSTITUCION EDUCATIVA MARINO GOMEZ ESTRADA - SEDE PRINCIPAL (PRIMARIA)</t>
  </si>
  <si>
    <t>INSTITUCION EDUCATIVA MANZANARES</t>
  </si>
  <si>
    <t>CONCENTRACIÓN SAN LUIS GONZAGA</t>
  </si>
  <si>
    <t>INSTITUCION EDUCATIVA PUEBLO RICO</t>
  </si>
  <si>
    <t>INSTITUCION EDUCATIVA PUEBLO RICO - SEDE PRINCIPAL</t>
  </si>
  <si>
    <t>INSTITUCION EDUCATVA NUESTRA SENORA DEL ROSARIO</t>
  </si>
  <si>
    <t>ESCUELA ABRAHAM MONTOYA</t>
  </si>
  <si>
    <t>INSTITUCION EDUCATIVA LAS COLES</t>
  </si>
  <si>
    <t>ESCUELA RURAL EL CONGO</t>
  </si>
  <si>
    <t>ESCUELA DANIEL MARÍA LÓPEZ</t>
  </si>
  <si>
    <t>CONVENTOS</t>
  </si>
  <si>
    <t>INSTITUCION EDUCATIVA LOS FUNDADORES</t>
  </si>
  <si>
    <t>ESCUELA URBANA ANTONIO NARIÑO</t>
  </si>
  <si>
    <t>SEMANA 3 CONSUMO</t>
  </si>
  <si>
    <t>20 AL 24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</si>
</sst>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$&quot;\ #,##0.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indexed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2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8"/>
      <color theme="1"/>
      <name val="Arial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14"/>
      <color indexed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6" fillId="0" borderId="0"/>
  </cellStyleXfs>
  <cellXfs count="2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6" borderId="14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1" fillId="0" borderId="0" xfId="0" applyFont="1"/>
    <xf numFmtId="0" fontId="5" fillId="4" borderId="7" xfId="0" applyFont="1" applyFill="1" applyBorder="1" applyAlignment="1">
      <alignment horizontal="center" vertical="center"/>
    </xf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3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12" fillId="0" borderId="32" xfId="0" applyFont="1" applyBorder="1" applyAlignment="1">
      <alignment vertical="center"/>
    </xf>
    <xf numFmtId="0" fontId="0" fillId="0" borderId="33" xfId="0" applyBorder="1"/>
    <xf numFmtId="0" fontId="0" fillId="0" borderId="2" xfId="0" applyBorder="1"/>
    <xf numFmtId="0" fontId="0" fillId="0" borderId="34" xfId="0" applyBorder="1"/>
    <xf numFmtId="0" fontId="0" fillId="0" borderId="3" xfId="0" applyBorder="1"/>
    <xf numFmtId="0" fontId="1" fillId="0" borderId="23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1" fillId="5" borderId="36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19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7" borderId="10" xfId="0" applyFont="1" applyFill="1" applyBorder="1" applyAlignment="1">
      <alignment vertical="center"/>
    </xf>
    <xf numFmtId="0" fontId="8" fillId="7" borderId="23" xfId="0" applyFont="1" applyFill="1" applyBorder="1" applyAlignment="1">
      <alignment vertical="center"/>
    </xf>
    <xf numFmtId="0" fontId="20" fillId="0" borderId="0" xfId="0" applyFont="1"/>
    <xf numFmtId="0" fontId="23" fillId="10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5" borderId="1" xfId="0" applyFont="1" applyFill="1" applyBorder="1" applyAlignment="1">
      <alignment vertical="center" wrapText="1"/>
    </xf>
    <xf numFmtId="0" fontId="23" fillId="10" borderId="3" xfId="0" applyFont="1" applyFill="1" applyBorder="1" applyAlignment="1">
      <alignment vertical="center" wrapText="1"/>
    </xf>
    <xf numFmtId="49" fontId="24" fillId="0" borderId="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5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49" fontId="23" fillId="11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9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5" borderId="1" xfId="0" applyFont="1" applyFill="1" applyBorder="1"/>
    <xf numFmtId="49" fontId="21" fillId="0" borderId="3" xfId="0" applyNumberFormat="1" applyFont="1" applyBorder="1" applyAlignment="1">
      <alignment horizontal="center" vertical="center" wrapText="1"/>
    </xf>
    <xf numFmtId="0" fontId="21" fillId="5" borderId="1" xfId="0" applyFont="1" applyFill="1" applyBorder="1" applyAlignment="1">
      <alignment vertical="center" wrapText="1"/>
    </xf>
    <xf numFmtId="0" fontId="20" fillId="5" borderId="3" xfId="0" applyFont="1" applyFill="1" applyBorder="1"/>
    <xf numFmtId="0" fontId="20" fillId="1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0" borderId="28" xfId="0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49" fontId="24" fillId="0" borderId="39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8" fillId="15" borderId="33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5" fontId="38" fillId="0" borderId="0" xfId="0" applyNumberFormat="1" applyFont="1" applyAlignment="1">
      <alignment horizontal="center" vertical="center"/>
    </xf>
    <xf numFmtId="0" fontId="36" fillId="4" borderId="9" xfId="0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/>
    </xf>
    <xf numFmtId="0" fontId="35" fillId="0" borderId="1" xfId="0" quotePrefix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36" fillId="4" borderId="4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</cellXfs>
  <cellStyles count="2">
    <cellStyle name="Normal" xfId="0" builtinId="0"/>
    <cellStyle name="Normal 18" xfId="1" xr:uid="{9756B178-E233-4FC5-8D2F-8155AE280202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theme="7" tint="0.79998168889431442"/>
        </patternFill>
      </fill>
    </dxf>
    <dxf>
      <font>
        <b/>
        <i/>
      </font>
      <fill>
        <patternFill>
          <bgColor rgb="FFFF0000"/>
        </patternFill>
      </fill>
    </dxf>
    <dxf>
      <font>
        <b val="0"/>
        <i val="0"/>
      </font>
      <fill>
        <patternFill>
          <bgColor theme="7" tint="0.79998168889431442"/>
        </patternFill>
      </fill>
    </dxf>
    <dxf>
      <font>
        <b/>
        <i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theme="7" tint="0.79998168889431442"/>
        </patternFill>
      </fill>
    </dxf>
    <dxf>
      <font>
        <b/>
        <i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theme="7" tint="0.79998168889431442"/>
        </patternFill>
      </fill>
    </dxf>
    <dxf>
      <font>
        <b/>
        <i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00"/>
      <color rgb="FF99FF99"/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CJ121"/>
  <sheetViews>
    <sheetView tabSelected="1" view="pageBreakPreview" zoomScale="50" zoomScaleNormal="50" zoomScaleSheetLayoutView="50" workbookViewId="0">
      <pane xSplit="13" ySplit="7" topLeftCell="N8" activePane="bottomRight" state="frozen"/>
      <selection activeCell="B1" sqref="B1"/>
      <selection pane="topRight" activeCell="N1" sqref="N1"/>
      <selection pane="bottomLeft" activeCell="B8" sqref="B8"/>
      <selection pane="bottomRight" activeCell="B8" sqref="B8:AZ73"/>
    </sheetView>
  </sheetViews>
  <sheetFormatPr baseColWidth="10" defaultColWidth="11.44140625" defaultRowHeight="20.3" x14ac:dyDescent="0.3"/>
  <cols>
    <col min="1" max="1" width="11.44140625" style="6" customWidth="1"/>
    <col min="2" max="2" width="11.44140625" style="46"/>
    <col min="3" max="3" width="11.44140625" style="14"/>
    <col min="4" max="4" width="11.44140625" style="22"/>
    <col min="5" max="10" width="9.33203125" style="58" customWidth="1"/>
    <col min="11" max="11" width="57.33203125" style="58" customWidth="1"/>
    <col min="12" max="12" width="17" style="4" customWidth="1"/>
    <col min="13" max="13" width="12.6640625" style="62" customWidth="1"/>
    <col min="14" max="14" width="30.6640625" style="62" customWidth="1"/>
    <col min="15" max="15" width="63.5546875" style="62" customWidth="1"/>
    <col min="16" max="17" width="11.44140625" style="6" hidden="1" customWidth="1"/>
    <col min="18" max="19" width="11.5546875" style="6" hidden="1" customWidth="1"/>
    <col min="20" max="20" width="11.33203125" style="6" hidden="1" customWidth="1"/>
    <col min="21" max="23" width="11.6640625" style="6" hidden="1" customWidth="1"/>
    <col min="24" max="25" width="11.5546875" style="6" hidden="1" customWidth="1"/>
    <col min="26" max="26" width="15.6640625" style="65" hidden="1" customWidth="1"/>
    <col min="27" max="27" width="9.6640625" style="65" hidden="1" customWidth="1"/>
    <col min="28" max="28" width="14.6640625" style="65" hidden="1" customWidth="1"/>
    <col min="29" max="31" width="11.6640625" style="6" hidden="1" customWidth="1"/>
    <col min="32" max="33" width="11.5546875" style="6" hidden="1" customWidth="1"/>
    <col min="34" max="34" width="15.6640625" style="65" hidden="1" customWidth="1"/>
    <col min="35" max="36" width="12.6640625" style="65" hidden="1" customWidth="1"/>
    <col min="37" max="38" width="11.6640625" style="6" hidden="1" customWidth="1"/>
    <col min="39" max="39" width="11.5546875" style="6" hidden="1" customWidth="1"/>
    <col min="40" max="41" width="11.6640625" style="6" hidden="1" customWidth="1"/>
    <col min="42" max="42" width="15.6640625" style="65" hidden="1" customWidth="1"/>
    <col min="43" max="44" width="12.6640625" style="65" hidden="1" customWidth="1"/>
    <col min="45" max="49" width="11" style="6" hidden="1" customWidth="1"/>
    <col min="50" max="50" width="15.6640625" style="65" hidden="1" customWidth="1"/>
    <col min="51" max="52" width="12.6640625" style="65" customWidth="1"/>
    <col min="53" max="55" width="11.6640625" style="6" hidden="1" customWidth="1"/>
    <col min="56" max="57" width="11.5546875" style="6" hidden="1" customWidth="1"/>
    <col min="58" max="58" width="15.6640625" style="65" hidden="1" customWidth="1"/>
    <col min="59" max="60" width="12.6640625" style="65" hidden="1" customWidth="1"/>
    <col min="61" max="63" width="11.6640625" style="6" hidden="1" customWidth="1"/>
    <col min="64" max="65" width="11.5546875" style="6" hidden="1" customWidth="1"/>
    <col min="66" max="66" width="15.6640625" style="65" hidden="1" customWidth="1"/>
    <col min="67" max="68" width="12.6640625" style="65" hidden="1" customWidth="1"/>
    <col min="69" max="69" width="11.44140625" style="6"/>
    <col min="70" max="70" width="16.33203125" style="6" customWidth="1"/>
    <col min="71" max="71" width="26.88671875" style="6" customWidth="1"/>
    <col min="72" max="73" width="14" style="6" customWidth="1"/>
    <col min="74" max="74" width="19.33203125" style="6" bestFit="1" customWidth="1"/>
    <col min="75" max="78" width="11.44140625" style="6"/>
    <col min="79" max="79" width="18.5546875" style="6" bestFit="1" customWidth="1"/>
    <col min="80" max="80" width="11.44140625" style="6"/>
    <col min="81" max="81" width="19.44140625" style="6" customWidth="1"/>
    <col min="82" max="82" width="39.6640625" style="6" customWidth="1"/>
    <col min="83" max="84" width="20.6640625" style="6" customWidth="1"/>
    <col min="85" max="88" width="15.6640625" style="6" customWidth="1"/>
    <col min="89" max="16384" width="11.44140625" style="6"/>
  </cols>
  <sheetData>
    <row r="1" spans="2:88" ht="20.95" thickBot="1" x14ac:dyDescent="0.35">
      <c r="E1" s="157" t="s">
        <v>178</v>
      </c>
      <c r="F1" s="157" t="s">
        <v>177</v>
      </c>
      <c r="G1" s="157"/>
      <c r="H1" s="157" t="s">
        <v>180</v>
      </c>
      <c r="I1" s="156"/>
      <c r="J1" s="157"/>
      <c r="O1" s="62" t="s">
        <v>163</v>
      </c>
      <c r="T1" s="11" t="s">
        <v>59</v>
      </c>
      <c r="U1" s="169">
        <f>++CÁRNICOS!CE$10</f>
        <v>0</v>
      </c>
      <c r="V1" s="170"/>
      <c r="W1" s="170"/>
      <c r="X1" s="170"/>
      <c r="Y1" s="171"/>
      <c r="AC1" s="169">
        <f>++CÁRNICOS!CF$10</f>
        <v>0</v>
      </c>
      <c r="AD1" s="170"/>
      <c r="AE1" s="170"/>
      <c r="AF1" s="170"/>
      <c r="AG1" s="171"/>
      <c r="AK1" s="169">
        <f>++CÁRNICOS!CG$10</f>
        <v>0</v>
      </c>
      <c r="AL1" s="170"/>
      <c r="AM1" s="170"/>
      <c r="AN1" s="170"/>
      <c r="AO1" s="171"/>
      <c r="AS1" s="169">
        <f>++CÁRNICOS!CH$10</f>
        <v>1</v>
      </c>
      <c r="AT1" s="170"/>
      <c r="AU1" s="170"/>
      <c r="AV1" s="170"/>
      <c r="AW1" s="171"/>
      <c r="BA1" s="169">
        <f>++CÁRNICOS!CI$10</f>
        <v>0</v>
      </c>
      <c r="BB1" s="170"/>
      <c r="BC1" s="170"/>
      <c r="BD1" s="170"/>
      <c r="BE1" s="171"/>
      <c r="BI1" s="169">
        <f>++CÁRNICOS!CJ$10</f>
        <v>0</v>
      </c>
      <c r="BJ1" s="170"/>
      <c r="BK1" s="170"/>
      <c r="BL1" s="170"/>
      <c r="BM1" s="171"/>
    </row>
    <row r="2" spans="2:88" ht="20.95" thickBot="1" x14ac:dyDescent="0.35">
      <c r="D2" s="22" t="s">
        <v>169</v>
      </c>
      <c r="E2" s="141">
        <f t="shared" ref="E2:J2" si="0">+COUNTA(E$8:E$77)</f>
        <v>0</v>
      </c>
      <c r="F2" s="141">
        <f t="shared" si="0"/>
        <v>0</v>
      </c>
      <c r="G2" s="141">
        <f t="shared" si="0"/>
        <v>0</v>
      </c>
      <c r="H2" s="141">
        <f t="shared" si="0"/>
        <v>0</v>
      </c>
      <c r="I2" s="141">
        <f t="shared" si="0"/>
        <v>0</v>
      </c>
      <c r="J2" s="141">
        <f t="shared" si="0"/>
        <v>0</v>
      </c>
      <c r="O2" s="62" t="s">
        <v>164</v>
      </c>
      <c r="T2" s="11" t="s">
        <v>59</v>
      </c>
      <c r="U2" s="169" t="e">
        <f>+VLOOKUP($N5,CÁRNICOS!$CD$13:$CJ$48,2,FALSE)</f>
        <v>#N/A</v>
      </c>
      <c r="V2" s="170"/>
      <c r="W2" s="170"/>
      <c r="X2" s="170"/>
      <c r="Y2" s="171"/>
      <c r="AC2" s="169" t="e">
        <f>+VLOOKUP($N5,CÁRNICOS!$CD$13:$CJ$48,3,FALSE)</f>
        <v>#N/A</v>
      </c>
      <c r="AD2" s="170"/>
      <c r="AE2" s="170"/>
      <c r="AF2" s="170"/>
      <c r="AG2" s="171"/>
      <c r="AK2" s="169" t="e">
        <f>+VLOOKUP($N5,CÁRNICOS!$CD$13:$CJ$48,4,FALSE)</f>
        <v>#N/A</v>
      </c>
      <c r="AL2" s="170"/>
      <c r="AM2" s="170"/>
      <c r="AN2" s="170"/>
      <c r="AO2" s="171"/>
      <c r="AS2" s="169" t="e">
        <f>+VLOOKUP($N5,CÁRNICOS!$CD$13:$CJ$48,5,FALSE)</f>
        <v>#N/A</v>
      </c>
      <c r="AT2" s="170"/>
      <c r="AU2" s="170"/>
      <c r="AV2" s="170"/>
      <c r="AW2" s="171"/>
      <c r="BA2" s="169" t="e">
        <f>+VLOOKUP($N5,CÁRNICOS!$CD$13:$CJ$48,6,FALSE)</f>
        <v>#N/A</v>
      </c>
      <c r="BB2" s="170"/>
      <c r="BC2" s="170"/>
      <c r="BD2" s="170"/>
      <c r="BE2" s="171"/>
      <c r="BI2" s="169" t="e">
        <f>+VLOOKUP($N5,CÁRNICOS!$CD$13:$CJ$48,7,FALSE)</f>
        <v>#N/A</v>
      </c>
      <c r="BJ2" s="170"/>
      <c r="BK2" s="170"/>
      <c r="BL2" s="170"/>
      <c r="BM2" s="171"/>
      <c r="CD2" s="128" t="s">
        <v>79</v>
      </c>
      <c r="CE2" s="128"/>
      <c r="CF2" s="128"/>
      <c r="CG2" s="128">
        <v>90</v>
      </c>
      <c r="CH2" s="128"/>
      <c r="CI2"/>
      <c r="CJ2"/>
    </row>
    <row r="3" spans="2:88" ht="20.95" customHeight="1" thickBot="1" x14ac:dyDescent="0.35">
      <c r="D3" s="143" t="s">
        <v>168</v>
      </c>
      <c r="E3" s="141">
        <v>8</v>
      </c>
      <c r="F3" s="141">
        <v>10</v>
      </c>
      <c r="G3" s="141"/>
      <c r="H3" s="141">
        <v>9</v>
      </c>
      <c r="I3" s="160" t="s">
        <v>179</v>
      </c>
      <c r="J3" s="160" t="s">
        <v>179</v>
      </c>
      <c r="T3" s="12" t="s">
        <v>60</v>
      </c>
      <c r="U3" s="177"/>
      <c r="V3" s="177"/>
      <c r="W3" s="177"/>
      <c r="X3" s="177"/>
      <c r="Y3" s="177"/>
      <c r="Z3" s="177"/>
      <c r="AA3" s="178"/>
      <c r="AB3" s="178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9"/>
      <c r="AY3" s="179"/>
      <c r="AZ3" s="179"/>
      <c r="BA3" s="177"/>
      <c r="BB3" s="177"/>
      <c r="BC3" s="177"/>
      <c r="BD3" s="177"/>
      <c r="BE3" s="177"/>
      <c r="BF3" s="67"/>
      <c r="BG3" s="67"/>
      <c r="BH3" s="67"/>
      <c r="BI3" s="10"/>
      <c r="BJ3" s="161"/>
      <c r="BK3" s="10"/>
      <c r="BL3" s="10"/>
      <c r="BM3" s="10"/>
      <c r="BN3" s="67"/>
      <c r="BO3" s="67"/>
      <c r="BP3" s="67"/>
      <c r="CD3" s="128" t="s">
        <v>80</v>
      </c>
      <c r="CE3" s="128"/>
      <c r="CF3" s="128"/>
      <c r="CG3" s="128">
        <v>70</v>
      </c>
      <c r="CH3" s="128"/>
      <c r="CI3"/>
      <c r="CJ3"/>
    </row>
    <row r="4" spans="2:88" ht="30.6" customHeight="1" thickBot="1" x14ac:dyDescent="0.35">
      <c r="E4" s="142" t="str">
        <f>+$Z$7</f>
        <v>CERDO 1</v>
      </c>
      <c r="F4" s="142" t="str">
        <f>+$AH$7</f>
        <v>CERDO 2</v>
      </c>
      <c r="G4" s="142" t="str">
        <f>+$AP$7</f>
        <v>RES</v>
      </c>
      <c r="H4" s="142" t="str">
        <f>+$AX$7</f>
        <v>POLLO 1</v>
      </c>
      <c r="I4" s="142" t="str">
        <f>+$BF$7</f>
        <v>POLLO 2</v>
      </c>
      <c r="J4" s="142" t="str">
        <f>+$BN$7</f>
        <v>POLLO 3</v>
      </c>
      <c r="K4" s="59" t="s">
        <v>86</v>
      </c>
      <c r="O4" s="158" t="s">
        <v>175</v>
      </c>
      <c r="T4" s="13">
        <f>+CONSOLIDADO!$B$8</f>
        <v>1000</v>
      </c>
      <c r="U4" s="172" t="str">
        <f>+CONSOLIDADO!D$7</f>
        <v>CERDO 1</v>
      </c>
      <c r="V4" s="173"/>
      <c r="W4" s="173"/>
      <c r="X4" s="173"/>
      <c r="Y4" s="174"/>
      <c r="AA4" s="185">
        <v>10</v>
      </c>
      <c r="AB4" s="186"/>
      <c r="AC4" s="173" t="str">
        <f>+CONSOLIDADO!I$7</f>
        <v>CERDO 2</v>
      </c>
      <c r="AD4" s="173"/>
      <c r="AE4" s="173"/>
      <c r="AF4" s="173"/>
      <c r="AG4" s="174"/>
      <c r="AI4" s="185">
        <v>10</v>
      </c>
      <c r="AJ4" s="186"/>
      <c r="AK4" s="173" t="s">
        <v>54</v>
      </c>
      <c r="AL4" s="173"/>
      <c r="AM4" s="173"/>
      <c r="AN4" s="173"/>
      <c r="AO4" s="174"/>
      <c r="AQ4" s="185">
        <v>9</v>
      </c>
      <c r="AR4" s="186"/>
      <c r="AS4" s="172" t="str">
        <f>+CONSOLIDADO!S$7</f>
        <v>POLLO 1</v>
      </c>
      <c r="AT4" s="173"/>
      <c r="AU4" s="173"/>
      <c r="AV4" s="173"/>
      <c r="AW4" s="174"/>
      <c r="AY4" s="185">
        <v>10</v>
      </c>
      <c r="AZ4" s="186"/>
      <c r="BA4" s="172" t="str">
        <f>+CONSOLIDADO!X$7</f>
        <v>POLLO 2</v>
      </c>
      <c r="BB4" s="173"/>
      <c r="BC4" s="173"/>
      <c r="BD4" s="173"/>
      <c r="BE4" s="174"/>
      <c r="BG4" s="185">
        <v>10</v>
      </c>
      <c r="BH4" s="186"/>
      <c r="BI4" s="172" t="str">
        <f>+CONSOLIDADO!AC$7</f>
        <v>POLLO 3</v>
      </c>
      <c r="BJ4" s="173"/>
      <c r="BK4" s="173"/>
      <c r="BL4" s="173"/>
      <c r="BM4" s="174"/>
      <c r="BO4" s="185">
        <v>10</v>
      </c>
      <c r="BP4" s="186"/>
      <c r="CD4" s="3" t="s">
        <v>70</v>
      </c>
      <c r="CE4" s="3">
        <v>60</v>
      </c>
      <c r="CF4" s="3">
        <v>75</v>
      </c>
      <c r="CG4" s="3">
        <v>110</v>
      </c>
      <c r="CH4" s="3">
        <v>125</v>
      </c>
      <c r="CI4"/>
      <c r="CJ4"/>
    </row>
    <row r="5" spans="2:88" ht="26.2" customHeight="1" x14ac:dyDescent="0.3">
      <c r="N5" s="168"/>
      <c r="O5" s="168"/>
      <c r="T5" s="129" t="s">
        <v>72</v>
      </c>
      <c r="U5" s="2">
        <v>45</v>
      </c>
      <c r="V5" s="2">
        <v>45</v>
      </c>
      <c r="W5" s="2">
        <v>60</v>
      </c>
      <c r="X5" s="2">
        <v>75</v>
      </c>
      <c r="Y5" s="2">
        <v>90</v>
      </c>
      <c r="Z5" s="144" t="s">
        <v>28</v>
      </c>
      <c r="AA5" s="148" t="s">
        <v>28</v>
      </c>
      <c r="AB5" s="53" t="s">
        <v>28</v>
      </c>
      <c r="AC5" s="2">
        <v>45</v>
      </c>
      <c r="AD5" s="2">
        <v>45</v>
      </c>
      <c r="AE5" s="2">
        <v>60</v>
      </c>
      <c r="AF5" s="2">
        <v>75</v>
      </c>
      <c r="AG5" s="2">
        <v>90</v>
      </c>
      <c r="AH5" s="53" t="s">
        <v>28</v>
      </c>
      <c r="AI5" s="148" t="s">
        <v>28</v>
      </c>
      <c r="AJ5" s="53" t="s">
        <v>28</v>
      </c>
      <c r="AK5" s="2">
        <v>45</v>
      </c>
      <c r="AL5" s="2">
        <v>45</v>
      </c>
      <c r="AM5" s="2">
        <v>60</v>
      </c>
      <c r="AN5" s="2">
        <v>75</v>
      </c>
      <c r="AO5" s="2">
        <v>90</v>
      </c>
      <c r="AP5" s="53" t="s">
        <v>28</v>
      </c>
      <c r="AQ5" s="148" t="s">
        <v>28</v>
      </c>
      <c r="AR5" s="53" t="s">
        <v>28</v>
      </c>
      <c r="AS5" s="2">
        <v>54</v>
      </c>
      <c r="AT5" s="2">
        <v>54</v>
      </c>
      <c r="AU5" s="2">
        <v>65</v>
      </c>
      <c r="AV5" s="2">
        <v>80</v>
      </c>
      <c r="AW5" s="2">
        <v>100</v>
      </c>
      <c r="AX5" s="20" t="s">
        <v>28</v>
      </c>
      <c r="AY5" s="148" t="s">
        <v>28</v>
      </c>
      <c r="AZ5" s="53" t="s">
        <v>28</v>
      </c>
      <c r="BA5" s="2">
        <v>54</v>
      </c>
      <c r="BB5" s="2">
        <v>54</v>
      </c>
      <c r="BC5" s="2">
        <v>65</v>
      </c>
      <c r="BD5" s="2">
        <v>80</v>
      </c>
      <c r="BE5" s="2">
        <v>100</v>
      </c>
      <c r="BF5" s="53" t="s">
        <v>28</v>
      </c>
      <c r="BG5" s="148" t="s">
        <v>28</v>
      </c>
      <c r="BH5" s="53" t="s">
        <v>28</v>
      </c>
      <c r="BI5" s="2">
        <v>54</v>
      </c>
      <c r="BJ5" s="2">
        <v>54</v>
      </c>
      <c r="BK5" s="2">
        <v>65</v>
      </c>
      <c r="BL5" s="2">
        <v>80</v>
      </c>
      <c r="BM5" s="2">
        <v>100</v>
      </c>
      <c r="BN5" s="53" t="s">
        <v>28</v>
      </c>
      <c r="BO5" s="148" t="s">
        <v>28</v>
      </c>
      <c r="BP5" s="53" t="s">
        <v>28</v>
      </c>
      <c r="CD5" s="3" t="s">
        <v>78</v>
      </c>
      <c r="CE5" s="3">
        <v>52</v>
      </c>
      <c r="CF5" s="3">
        <v>65</v>
      </c>
      <c r="CG5" s="3">
        <v>80</v>
      </c>
      <c r="CH5" s="3">
        <v>100</v>
      </c>
      <c r="CI5"/>
      <c r="CJ5"/>
    </row>
    <row r="6" spans="2:88" ht="20.3" customHeight="1" x14ac:dyDescent="0.35">
      <c r="D6" s="58" t="s">
        <v>176</v>
      </c>
      <c r="E6" s="58">
        <f t="shared" ref="E6:J6" si="1">+SUBTOTAL(3,E$7:E$77)</f>
        <v>0</v>
      </c>
      <c r="F6" s="58">
        <f t="shared" si="1"/>
        <v>0</v>
      </c>
      <c r="G6" s="58">
        <f t="shared" si="1"/>
        <v>0</v>
      </c>
      <c r="H6" s="58">
        <f t="shared" si="1"/>
        <v>0</v>
      </c>
      <c r="I6" s="58">
        <f t="shared" si="1"/>
        <v>0</v>
      </c>
      <c r="J6" s="58">
        <f t="shared" si="1"/>
        <v>0</v>
      </c>
      <c r="N6" s="73" t="s">
        <v>287</v>
      </c>
      <c r="O6" s="68" t="s">
        <v>288</v>
      </c>
      <c r="T6" s="129" t="s">
        <v>81</v>
      </c>
      <c r="U6" s="147">
        <v>45</v>
      </c>
      <c r="V6" s="147">
        <v>45</v>
      </c>
      <c r="W6" s="2">
        <v>60</v>
      </c>
      <c r="X6" s="2">
        <v>75</v>
      </c>
      <c r="Y6" s="2">
        <v>90</v>
      </c>
      <c r="Z6" s="144" t="s">
        <v>28</v>
      </c>
      <c r="AA6" s="180" t="str">
        <f>+Z$7</f>
        <v>CERDO 1</v>
      </c>
      <c r="AB6" s="181"/>
      <c r="AC6" s="147">
        <v>45</v>
      </c>
      <c r="AD6" s="147">
        <v>45</v>
      </c>
      <c r="AE6" s="2">
        <v>60</v>
      </c>
      <c r="AF6" s="2">
        <v>75</v>
      </c>
      <c r="AG6" s="2">
        <v>90</v>
      </c>
      <c r="AH6" s="53" t="s">
        <v>28</v>
      </c>
      <c r="AI6" s="180" t="str">
        <f>+AH$7</f>
        <v>CERDO 2</v>
      </c>
      <c r="AJ6" s="181"/>
      <c r="AK6" s="147">
        <v>45</v>
      </c>
      <c r="AL6" s="147">
        <v>45</v>
      </c>
      <c r="AM6" s="2">
        <v>60</v>
      </c>
      <c r="AN6" s="2">
        <v>75</v>
      </c>
      <c r="AO6" s="2">
        <v>90</v>
      </c>
      <c r="AP6" s="53" t="s">
        <v>28</v>
      </c>
      <c r="AQ6" s="180" t="str">
        <f>+AP$7</f>
        <v>RES</v>
      </c>
      <c r="AR6" s="181"/>
      <c r="AS6" s="2">
        <v>54</v>
      </c>
      <c r="AT6" s="2">
        <v>54</v>
      </c>
      <c r="AU6" s="2">
        <v>65</v>
      </c>
      <c r="AV6" s="2">
        <v>80</v>
      </c>
      <c r="AW6" s="2">
        <v>100</v>
      </c>
      <c r="AX6" s="20" t="s">
        <v>28</v>
      </c>
      <c r="AY6" s="180" t="str">
        <f>+AX$7</f>
        <v>POLLO 1</v>
      </c>
      <c r="AZ6" s="181"/>
      <c r="BA6" s="2">
        <v>54</v>
      </c>
      <c r="BB6" s="2">
        <v>54</v>
      </c>
      <c r="BC6" s="2">
        <v>65</v>
      </c>
      <c r="BD6" s="2">
        <v>80</v>
      </c>
      <c r="BE6" s="2">
        <v>100</v>
      </c>
      <c r="BF6" s="53" t="s">
        <v>28</v>
      </c>
      <c r="BG6" s="180" t="str">
        <f>+BF$7</f>
        <v>POLLO 2</v>
      </c>
      <c r="BH6" s="181"/>
      <c r="BI6" s="2">
        <v>54</v>
      </c>
      <c r="BJ6" s="2">
        <v>54</v>
      </c>
      <c r="BK6" s="2">
        <v>65</v>
      </c>
      <c r="BL6" s="2">
        <v>80</v>
      </c>
      <c r="BM6" s="2">
        <v>100</v>
      </c>
      <c r="BN6" s="53" t="s">
        <v>28</v>
      </c>
      <c r="BO6" s="180" t="str">
        <f>+BN$7</f>
        <v>POLLO 3</v>
      </c>
      <c r="BP6" s="181"/>
      <c r="BR6" s="184" t="s">
        <v>165</v>
      </c>
      <c r="BS6" s="184"/>
      <c r="BT6" s="184"/>
      <c r="BU6" s="184"/>
      <c r="BV6" s="184"/>
      <c r="BW6" s="184"/>
      <c r="BX6" s="184"/>
      <c r="BY6" s="184"/>
      <c r="BZ6" s="184"/>
      <c r="CA6" s="184"/>
      <c r="CD6" s="19"/>
      <c r="CE6" s="19"/>
      <c r="CF6" s="19"/>
      <c r="CG6" s="19"/>
      <c r="CH6" s="19"/>
      <c r="CI6" s="19"/>
      <c r="CJ6" s="19"/>
    </row>
    <row r="7" spans="2:88" ht="31.6" customHeight="1" x14ac:dyDescent="0.35">
      <c r="B7" s="46" t="s">
        <v>31</v>
      </c>
      <c r="C7" s="14" t="s">
        <v>74</v>
      </c>
      <c r="D7" s="22" t="s">
        <v>71</v>
      </c>
      <c r="E7" s="61"/>
      <c r="F7" s="61"/>
      <c r="G7" s="61"/>
      <c r="H7" s="61"/>
      <c r="I7" s="61"/>
      <c r="J7" s="61"/>
      <c r="K7" s="59"/>
      <c r="L7" s="5" t="s">
        <v>29</v>
      </c>
      <c r="M7" s="63" t="s">
        <v>27</v>
      </c>
      <c r="N7" s="63" t="s">
        <v>26</v>
      </c>
      <c r="O7" s="69" t="s">
        <v>25</v>
      </c>
      <c r="P7" s="9" t="s">
        <v>46</v>
      </c>
      <c r="Q7" s="9" t="s">
        <v>46</v>
      </c>
      <c r="R7" s="9" t="s">
        <v>47</v>
      </c>
      <c r="S7" s="9" t="s">
        <v>48</v>
      </c>
      <c r="T7" s="9" t="s">
        <v>49</v>
      </c>
      <c r="U7" s="8" t="s">
        <v>181</v>
      </c>
      <c r="V7" s="8" t="s">
        <v>182</v>
      </c>
      <c r="W7" s="8" t="s">
        <v>183</v>
      </c>
      <c r="X7" s="8" t="s">
        <v>184</v>
      </c>
      <c r="Y7" s="8" t="s">
        <v>185</v>
      </c>
      <c r="Z7" s="144" t="str">
        <f>+U$4</f>
        <v>CERDO 1</v>
      </c>
      <c r="AA7" s="153" t="s">
        <v>173</v>
      </c>
      <c r="AB7" s="154" t="s">
        <v>174</v>
      </c>
      <c r="AC7" s="8" t="s">
        <v>181</v>
      </c>
      <c r="AD7" s="8" t="s">
        <v>182</v>
      </c>
      <c r="AE7" s="8" t="s">
        <v>183</v>
      </c>
      <c r="AF7" s="8" t="s">
        <v>184</v>
      </c>
      <c r="AG7" s="8" t="s">
        <v>185</v>
      </c>
      <c r="AH7" s="155" t="str">
        <f>+AC$4</f>
        <v>CERDO 2</v>
      </c>
      <c r="AI7" s="153" t="s">
        <v>173</v>
      </c>
      <c r="AJ7" s="154" t="s">
        <v>174</v>
      </c>
      <c r="AK7" s="8" t="s">
        <v>181</v>
      </c>
      <c r="AL7" s="8" t="s">
        <v>182</v>
      </c>
      <c r="AM7" s="8" t="s">
        <v>183</v>
      </c>
      <c r="AN7" s="8" t="s">
        <v>184</v>
      </c>
      <c r="AO7" s="8" t="s">
        <v>185</v>
      </c>
      <c r="AP7" s="155" t="str">
        <f>+AK$4</f>
        <v>RES</v>
      </c>
      <c r="AQ7" s="153" t="s">
        <v>173</v>
      </c>
      <c r="AR7" s="154" t="s">
        <v>174</v>
      </c>
      <c r="AS7" s="8" t="s">
        <v>181</v>
      </c>
      <c r="AT7" s="8" t="s">
        <v>182</v>
      </c>
      <c r="AU7" s="8" t="s">
        <v>183</v>
      </c>
      <c r="AV7" s="8" t="s">
        <v>184</v>
      </c>
      <c r="AW7" s="8" t="s">
        <v>185</v>
      </c>
      <c r="AX7" s="155" t="str">
        <f>+AS$4</f>
        <v>POLLO 1</v>
      </c>
      <c r="AY7" s="153" t="s">
        <v>173</v>
      </c>
      <c r="AZ7" s="154" t="s">
        <v>174</v>
      </c>
      <c r="BA7" s="8" t="s">
        <v>181</v>
      </c>
      <c r="BB7" s="8" t="s">
        <v>182</v>
      </c>
      <c r="BC7" s="8" t="s">
        <v>183</v>
      </c>
      <c r="BD7" s="8" t="s">
        <v>184</v>
      </c>
      <c r="BE7" s="8" t="s">
        <v>185</v>
      </c>
      <c r="BF7" s="155" t="str">
        <f>+BA$4</f>
        <v>POLLO 2</v>
      </c>
      <c r="BG7" s="153" t="s">
        <v>173</v>
      </c>
      <c r="BH7" s="154" t="s">
        <v>174</v>
      </c>
      <c r="BI7" s="8" t="s">
        <v>181</v>
      </c>
      <c r="BJ7" s="8" t="s">
        <v>182</v>
      </c>
      <c r="BK7" s="8" t="s">
        <v>183</v>
      </c>
      <c r="BL7" s="8" t="s">
        <v>184</v>
      </c>
      <c r="BM7" s="8" t="s">
        <v>185</v>
      </c>
      <c r="BN7" s="155" t="str">
        <f>+BI$4</f>
        <v>POLLO 3</v>
      </c>
      <c r="BO7" s="153" t="s">
        <v>173</v>
      </c>
      <c r="BP7" s="154" t="s">
        <v>174</v>
      </c>
      <c r="BR7" s="5" t="s">
        <v>29</v>
      </c>
      <c r="BS7" s="63" t="s">
        <v>27</v>
      </c>
      <c r="BT7" s="63" t="s">
        <v>26</v>
      </c>
      <c r="BU7" s="69" t="s">
        <v>25</v>
      </c>
      <c r="BV7" s="53" t="str">
        <f>+CÁRNICOS!CE$12</f>
        <v>CERDO 1</v>
      </c>
      <c r="BW7" s="53" t="str">
        <f>+CÁRNICOS!CF$12</f>
        <v>CERDO 2</v>
      </c>
      <c r="BX7" s="53" t="str">
        <f>+CÁRNICOS!CG$12</f>
        <v>RES</v>
      </c>
      <c r="BY7" s="53" t="str">
        <f>+CÁRNICOS!CH$12</f>
        <v>POLLO 1</v>
      </c>
      <c r="BZ7" s="53" t="str">
        <f>+CÁRNICOS!CI$12</f>
        <v>POLLO 2</v>
      </c>
      <c r="CA7" s="53" t="str">
        <f>+CÁRNICOS!CJ$12</f>
        <v>POLLO 3</v>
      </c>
      <c r="CD7" s="19"/>
      <c r="CE7" s="19"/>
      <c r="CF7" s="19"/>
      <c r="CG7" s="19"/>
      <c r="CH7" s="19"/>
      <c r="CI7" s="19"/>
      <c r="CJ7" s="19"/>
    </row>
    <row r="8" spans="2:88" ht="29.95" customHeight="1" x14ac:dyDescent="0.3">
      <c r="B8" s="46">
        <f>+COUNTIF($M$8:M8,M8)</f>
        <v>1</v>
      </c>
      <c r="C8" s="14">
        <f>SUM(P8:T8)</f>
        <v>42</v>
      </c>
      <c r="D8" s="22" t="s">
        <v>73</v>
      </c>
      <c r="E8" s="124"/>
      <c r="F8" s="60"/>
      <c r="G8" s="60"/>
      <c r="H8" s="60"/>
      <c r="I8" s="60"/>
      <c r="J8" s="60"/>
      <c r="K8" s="59"/>
      <c r="L8" s="122">
        <v>7</v>
      </c>
      <c r="M8" s="162" t="s">
        <v>38</v>
      </c>
      <c r="N8" s="162" t="s">
        <v>186</v>
      </c>
      <c r="O8" s="163" t="s">
        <v>37</v>
      </c>
      <c r="P8" s="74">
        <v>0</v>
      </c>
      <c r="Q8" s="74">
        <v>32</v>
      </c>
      <c r="R8" s="139">
        <v>10</v>
      </c>
      <c r="S8" s="74">
        <v>0</v>
      </c>
      <c r="T8" s="74">
        <v>0</v>
      </c>
      <c r="U8" s="2">
        <f>+IF($D8&lt;&gt;"",U$6*$P8/$T$4*VLOOKUP($M8,CÁRNICOS!$CD$13:$CJ$48,2,FALSE),U$5*$P8/$T$4*$U$1)</f>
        <v>0</v>
      </c>
      <c r="V8" s="2">
        <f>+IF($D8&lt;&gt;"",V$6*$Q8/$T$4*VLOOKUP($M8,CÁRNICOS!$CD$13:$CJ$48,2,FALSE),V$5*$Q8/$T$4*$U$1)</f>
        <v>0</v>
      </c>
      <c r="W8" s="2">
        <f>+IF($D8&lt;&gt;"",W$6*$R8/$T$4*VLOOKUP($M8,CÁRNICOS!$CD$13:$CJ$48,2,FALSE),W$5*$R8/$T$4*$U$1)</f>
        <v>0</v>
      </c>
      <c r="X8" s="2">
        <f>+IF($D8&lt;&gt;"",X$6*$S8/$T$4*VLOOKUP($M8,CÁRNICOS!$CD$13:$CJ$48,2,FALSE),X$5*$S8/$T$4*$U$1)</f>
        <v>0</v>
      </c>
      <c r="Y8" s="2">
        <f>+IF($D8&lt;&gt;"",Y$6*$T8/$T$4*VLOOKUP($M8,CÁRNICOS!$CD$13:$CJ$48,2,FALSE),Y$5*$T8/$T$4*$U$1)</f>
        <v>0</v>
      </c>
      <c r="Z8" s="146">
        <f>IF($E8&lt;&gt;"",0,SUM(U8:Y8))</f>
        <v>0</v>
      </c>
      <c r="AA8" s="149">
        <f>+ROUNDUP(Z8/AA$4,0)</f>
        <v>0</v>
      </c>
      <c r="AB8" s="120">
        <f>+IF(Z8*AA8=0,0,(ROUNDUP(Z8/AA8,3)))</f>
        <v>0</v>
      </c>
      <c r="AC8" s="147">
        <f>+IF($D8&lt;&gt;"",AC$6*$P8/$T$4*VLOOKUP($M8,CÁRNICOS!$CD$13:$CJ$48,3,FALSE),AC$5*$P8/$T$4*$AC$1)</f>
        <v>0</v>
      </c>
      <c r="AD8" s="147">
        <f>+IF($D8&lt;&gt;"",AD$6*$Q8/$T$4*VLOOKUP($M8,CÁRNICOS!$CD$13:$CJ$48,3,FALSE),AD$5*$Q8/$T$4*$AC$1)</f>
        <v>0</v>
      </c>
      <c r="AE8" s="2">
        <f>+IF($D8&lt;&gt;"",AE$6*$R8/$T$4*VLOOKUP($M8,CÁRNICOS!$CD$13:$CJ$48,3,FALSE),AE$5*$R8/$T$4*$AC$1)</f>
        <v>0</v>
      </c>
      <c r="AF8" s="2">
        <f>+IF($D8&lt;&gt;"",AF$6*$S8/$T$4*VLOOKUP($M8,CÁRNICOS!$CD$13:$CJ$48,3,FALSE),AF$5*$S8/$T$4*$AC$1)</f>
        <v>0</v>
      </c>
      <c r="AG8" s="2">
        <f>+IF($D8&lt;&gt;"",AG$6*$T8/$T$4*VLOOKUP($M8,CÁRNICOS!$CD$13:$CJ$48,3,FALSE),AG$5*$T8/$T$4*$AC$1)</f>
        <v>0</v>
      </c>
      <c r="AH8" s="120">
        <f>IF($F8&lt;&gt;"",0,SUM(AC8:AG8))</f>
        <v>0</v>
      </c>
      <c r="AI8" s="149">
        <f>+ROUNDUP(AH8/AI$4,0)</f>
        <v>0</v>
      </c>
      <c r="AJ8" s="120">
        <f>+IF(AH8*AI8=0,0,(ROUNDUP(AH8/AI8,3)))</f>
        <v>0</v>
      </c>
      <c r="AK8" s="2">
        <f>+IF($D8&lt;&gt;"",AK$6*$P8/$T$4*VLOOKUP($M8,CÁRNICOS!$CD$13:$CJ$48,4,FALSE),AK$5*$P8/$T$4*$AK$1)</f>
        <v>0</v>
      </c>
      <c r="AL8" s="2">
        <f>+IF($D8&lt;&gt;"",AL$6*$Q8/$T$4*VLOOKUP($M8,CÁRNICOS!$CD$13:$CJ$48,4,FALSE),AL$5*$Q8/$T$4*$AK$1)</f>
        <v>0</v>
      </c>
      <c r="AM8" s="2">
        <f>+IF($D8&lt;&gt;"",AM$6*$R8/$T$4*VLOOKUP($M8,CÁRNICOS!$CD$13:$CJ$48,4,FALSE),AM$5*$R8/$T$4*$AK$1)</f>
        <v>0</v>
      </c>
      <c r="AN8" s="2">
        <f>+IF($D8&lt;&gt;"",AN$6*$S8/$T$4*VLOOKUP($M8,CÁRNICOS!$CD$13:$CJ$48,4,FALSE),AN$5*$S8/$T$4*$AK$1)</f>
        <v>0</v>
      </c>
      <c r="AO8" s="2">
        <f>+IF($D8&lt;&gt;"",AO$6*$T8/$T$4*VLOOKUP($M8,CÁRNICOS!$CD$13:$CJ$48,4,FALSE),AO$5*$T8/$T$4*$AK$1)</f>
        <v>0</v>
      </c>
      <c r="AP8" s="120">
        <f>IF($G8&lt;&gt;"",0,SUM(AK8:AO8))</f>
        <v>0</v>
      </c>
      <c r="AQ8" s="149">
        <f>+ROUNDUP(AP8/AQ$4,0)</f>
        <v>0</v>
      </c>
      <c r="AR8" s="120">
        <f>+IF(AP8*AQ8=0,0,(ROUNDUP(AP8/AQ8,3)))</f>
        <v>0</v>
      </c>
      <c r="AS8" s="2">
        <f>+IF($D8&lt;&gt;"",AS$6*$P8/$T$4*VLOOKUP($M8,CÁRNICOS!$CD$13:$CJ$48,5,FALSE),AS$5*$P8/$T$4*$AS$1)</f>
        <v>0</v>
      </c>
      <c r="AT8" s="2">
        <f>+IF($D8&lt;&gt;"",AT$6*$Q8/$T$4*VLOOKUP($M8,CÁRNICOS!$CD$13:$CJ$48,5,FALSE),AT$5*$Q8/$T$4*$AS$1)</f>
        <v>1.728</v>
      </c>
      <c r="AU8" s="2">
        <f>+IF($D8&lt;&gt;"",AU$6*$R8/$T$4*VLOOKUP($M8,CÁRNICOS!$CD$13:$CJ$48,5,FALSE),AU$5*$R8/$T$4*$AS$1)</f>
        <v>0.65</v>
      </c>
      <c r="AV8" s="2">
        <f>+IF($D8&lt;&gt;"",AV$6*$S8/$T$4*VLOOKUP($M8,CÁRNICOS!$CD$13:$CJ$48,5,FALSE),AV$5*$S8/$T$4*$AS$1)</f>
        <v>0</v>
      </c>
      <c r="AW8" s="2">
        <f>+IF($D8&lt;&gt;"",AW$6*$T8/$T$4*VLOOKUP($M8,CÁRNICOS!$CD$13:$CJ$48,5,FALSE),AW$5*$T8/$T$4*$AS$1)</f>
        <v>0</v>
      </c>
      <c r="AX8" s="120">
        <f>IF($H8&lt;&gt;"",0,SUM(AS8:AW8))</f>
        <v>2.3780000000000001</v>
      </c>
      <c r="AY8" s="149">
        <f>+ROUNDUP(AX8/AY$4,0)</f>
        <v>1</v>
      </c>
      <c r="AZ8" s="120">
        <f>+IF(AX8*AY8=0,0,(ROUNDUP(AX8/AY8,3)))</f>
        <v>2.3780000000000001</v>
      </c>
      <c r="BA8" s="2">
        <f>+IF($D8&lt;&gt;"",BA$6*$P8/$T$4*VLOOKUP($M8,CÁRNICOS!$CD$13:$CJ$48,6,FALSE),BA$5*$P8/$T$4*$BA$1)</f>
        <v>0</v>
      </c>
      <c r="BB8" s="2">
        <f>+IF($D8&lt;&gt;"",BB$6*$Q8/$T$4*VLOOKUP($M8,CÁRNICOS!$CD$13:$CJ$48,6,FALSE),BB$5*$Q8/$T$4*$BA$1)</f>
        <v>0</v>
      </c>
      <c r="BC8" s="2">
        <f>+IF($D8&lt;&gt;"",BC$6*$R8/$T$4*VLOOKUP($M8,CÁRNICOS!$CD$13:$CJ$48,6,FALSE),BC$5*$R8/$T$4*$BA$1)</f>
        <v>0</v>
      </c>
      <c r="BD8" s="2">
        <f>+IF($D8&lt;&gt;"",BD$6*$S8/$T$4*VLOOKUP($M8,CÁRNICOS!$CD$13:$CJ$48,6,FALSE),BD$5*$S8/$T$4*$BA$1)</f>
        <v>0</v>
      </c>
      <c r="BE8" s="2">
        <f>+IF($D8&lt;&gt;"",BE$6*$T8/$T$4*VLOOKUP($M8,CÁRNICOS!$CD$13:$CJ$48,6,FALSE),BE$5*$T8/$T$4*$BA$1)</f>
        <v>0</v>
      </c>
      <c r="BF8" s="120">
        <f t="shared" ref="BF8:BF39" si="2">IF($I8&lt;&gt;"",0,SUM(BA8:BE8))</f>
        <v>0</v>
      </c>
      <c r="BG8" s="149">
        <f t="shared" ref="BG8:BG39" si="3">+ROUNDUP(BF8/BG$4,0)</f>
        <v>0</v>
      </c>
      <c r="BH8" s="120">
        <f t="shared" ref="BH8:BH39" si="4">+IF(BF8*BG8=0,0,(ROUNDUP(BF8/BG8,3)))</f>
        <v>0</v>
      </c>
      <c r="BI8" s="2">
        <f>+IF($D8&lt;&gt;"",BI$6*$P8/$T$4*VLOOKUP($M8,CÁRNICOS!$CD$13:$CJ$48,7,FALSE),BI$5*$P8/$T$4*$BI$1)</f>
        <v>0</v>
      </c>
      <c r="BJ8" s="2">
        <f>+IF($D8&lt;&gt;"",BJ$6*$Q8/$T$4*VLOOKUP($M8,CÁRNICOS!$CD$13:$CJ$48,7,FALSE),BJ$5*$Q8/$T$4*$BI$1)</f>
        <v>0</v>
      </c>
      <c r="BK8" s="2">
        <f>+IF($D8&lt;&gt;"",BK$6*$R8/$T$4*VLOOKUP($M8,CÁRNICOS!$CD$13:$CJ$48,7,FALSE),BK$5*$R8/$T$4*$BI$1)</f>
        <v>0</v>
      </c>
      <c r="BL8" s="2">
        <f>+IF($D8&lt;&gt;"",BL$6*$S8/$T$4*VLOOKUP($M8,CÁRNICOS!$CD$13:$CJ$48,7,FALSE),BL$5*$S8/$T$4*$BI$1)</f>
        <v>0</v>
      </c>
      <c r="BM8" s="2">
        <f>+IF($D8&lt;&gt;"",BM$6*$T8/$T$4*VLOOKUP($M8,CÁRNICOS!$CD$13:$CJ$48,7,FALSE),BM$5*$T8/$T$4*$BI$1)</f>
        <v>0</v>
      </c>
      <c r="BN8" s="120">
        <f t="shared" ref="BN8:BN39" si="5">IF($J8&lt;&gt;"",0,SUM(BI8:BM8))</f>
        <v>0</v>
      </c>
      <c r="BO8" s="149">
        <f>+ROUNDUP(BN8/BO$4,0)</f>
        <v>0</v>
      </c>
      <c r="BP8" s="120">
        <f>+IF(BN8*BO8=0,0,(ROUNDUP(BN8/BO8,3)))</f>
        <v>0</v>
      </c>
      <c r="BR8" s="74">
        <f t="shared" ref="BR8:BR75" si="6">+L8</f>
        <v>7</v>
      </c>
      <c r="BS8" s="74" t="str">
        <f t="shared" ref="BS8:BS75" si="7">+M8</f>
        <v>AGUADAS</v>
      </c>
      <c r="BT8" s="74" t="str">
        <f t="shared" ref="BT8:BT75" si="8">+N8</f>
        <v>INSTITUCION EDUCATIVA ESCUELA  NORMAL SUPERIOR CLAUDINA MUNERA</v>
      </c>
      <c r="BU8" s="74" t="str">
        <f t="shared" ref="BU8:BU75" si="9">+O8</f>
        <v>ESCUELA NORMAL SUPERIOR CLAUDINA MÚNERA (ANEXA)</v>
      </c>
      <c r="BV8" s="74">
        <f t="shared" ref="BV8:BV75" si="10">+Z8</f>
        <v>0</v>
      </c>
      <c r="BW8" s="74">
        <f t="shared" ref="BW8:BW75" si="11">+AH8</f>
        <v>0</v>
      </c>
      <c r="BX8" s="74">
        <f t="shared" ref="BX8:BX75" si="12">+AP8</f>
        <v>0</v>
      </c>
      <c r="BY8" s="74">
        <f t="shared" ref="BY8:BY75" si="13">+AX8</f>
        <v>2.3780000000000001</v>
      </c>
      <c r="BZ8" s="74">
        <f t="shared" ref="BZ8:BZ75" si="14">+BF8</f>
        <v>0</v>
      </c>
      <c r="CA8" s="74">
        <f t="shared" ref="CA8:CA75" si="15">+BN8</f>
        <v>0</v>
      </c>
      <c r="CD8"/>
      <c r="CE8"/>
      <c r="CF8"/>
      <c r="CG8"/>
      <c r="CH8"/>
      <c r="CI8"/>
      <c r="CJ8"/>
    </row>
    <row r="9" spans="2:88" ht="29.95" customHeight="1" thickBot="1" x14ac:dyDescent="0.35">
      <c r="B9" s="46">
        <f>+COUNTIF($M$8:M9,M9)</f>
        <v>2</v>
      </c>
      <c r="C9" s="14">
        <f>SUM(P9:T9)</f>
        <v>22</v>
      </c>
      <c r="D9" s="22" t="s">
        <v>73</v>
      </c>
      <c r="E9" s="124"/>
      <c r="F9" s="60"/>
      <c r="G9" s="60"/>
      <c r="H9" s="60"/>
      <c r="I9" s="60"/>
      <c r="J9" s="60"/>
      <c r="K9" s="59"/>
      <c r="L9" s="122">
        <v>7</v>
      </c>
      <c r="M9" s="162" t="s">
        <v>38</v>
      </c>
      <c r="N9" s="162" t="s">
        <v>186</v>
      </c>
      <c r="O9" s="163" t="s">
        <v>187</v>
      </c>
      <c r="P9" s="74">
        <v>0</v>
      </c>
      <c r="Q9" s="74">
        <v>0</v>
      </c>
      <c r="R9" s="139">
        <v>0</v>
      </c>
      <c r="S9" s="74">
        <v>22</v>
      </c>
      <c r="T9" s="74">
        <v>0</v>
      </c>
      <c r="U9" s="2">
        <f>+IF($D9&lt;&gt;"",U$6*$P9/$T$4*VLOOKUP($M9,CÁRNICOS!$CD$13:$CJ$48,2,FALSE),U$5*$P9/$T$4*$U$1)</f>
        <v>0</v>
      </c>
      <c r="V9" s="2">
        <f>+IF($D9&lt;&gt;"",V$6*$Q9/$T$4*VLOOKUP($M9,CÁRNICOS!$CD$13:$CJ$48,2,FALSE),V$5*$Q9/$T$4*$U$1)</f>
        <v>0</v>
      </c>
      <c r="W9" s="2">
        <f>+IF($D9&lt;&gt;"",W$6*$R9/$T$4*VLOOKUP($M9,CÁRNICOS!$CD$13:$CJ$48,2,FALSE),W$5*$R9/$T$4*$U$1)</f>
        <v>0</v>
      </c>
      <c r="X9" s="2">
        <f>+IF($D9&lt;&gt;"",X$6*$S9/$T$4*VLOOKUP($M9,CÁRNICOS!$CD$13:$CJ$48,2,FALSE),X$5*$S9/$T$4*$U$1)</f>
        <v>0</v>
      </c>
      <c r="Y9" s="2">
        <f>+IF($D9&lt;&gt;"",Y$6*$T9/$T$4*VLOOKUP($M9,CÁRNICOS!$CD$13:$CJ$48,2,FALSE),Y$5*$T9/$T$4*$U$1)</f>
        <v>0</v>
      </c>
      <c r="Z9" s="146">
        <f>IF($E9&lt;&gt;"",0,SUM(U9:Y9))</f>
        <v>0</v>
      </c>
      <c r="AA9" s="149">
        <f>+ROUNDUP(Z9/AA$4,0)</f>
        <v>0</v>
      </c>
      <c r="AB9" s="120">
        <f>+IF(Z9*AA9=0,0,(ROUNDUP(Z9/AA9,3)))</f>
        <v>0</v>
      </c>
      <c r="AC9" s="147">
        <f>+IF($D9&lt;&gt;"",AC$6*$P9/$T$4*VLOOKUP($M9,CÁRNICOS!$CD$13:$CJ$48,3,FALSE),AC$5*$P9/$T$4*$AC$1)</f>
        <v>0</v>
      </c>
      <c r="AD9" s="147">
        <f>+IF($D9&lt;&gt;"",AD$6*$Q9/$T$4*VLOOKUP($M9,CÁRNICOS!$CD$13:$CJ$48,3,FALSE),AD$5*$Q9/$T$4*$AC$1)</f>
        <v>0</v>
      </c>
      <c r="AE9" s="2">
        <f>+IF($D9&lt;&gt;"",AE$6*$R9/$T$4*VLOOKUP($M9,CÁRNICOS!$CD$13:$CJ$48,3,FALSE),AE$5*$R9/$T$4*$AC$1)</f>
        <v>0</v>
      </c>
      <c r="AF9" s="2">
        <f>+IF($D9&lt;&gt;"",AF$6*$S9/$T$4*VLOOKUP($M9,CÁRNICOS!$CD$13:$CJ$48,3,FALSE),AF$5*$S9/$T$4*$AC$1)</f>
        <v>0</v>
      </c>
      <c r="AG9" s="2">
        <f>+IF($D9&lt;&gt;"",AG$6*$T9/$T$4*VLOOKUP($M9,CÁRNICOS!$CD$13:$CJ$48,3,FALSE),AG$5*$T9/$T$4*$AC$1)</f>
        <v>0</v>
      </c>
      <c r="AH9" s="120">
        <f>IF($F9&lt;&gt;"",0,SUM(AC9:AG9))</f>
        <v>0</v>
      </c>
      <c r="AI9" s="149">
        <f>+ROUNDUP(AH9/AI$4,0)</f>
        <v>0</v>
      </c>
      <c r="AJ9" s="120">
        <f>+IF(AH9*AI9=0,0,(ROUNDUP(AH9/AI9,3)))</f>
        <v>0</v>
      </c>
      <c r="AK9" s="2">
        <f>+IF($D9&lt;&gt;"",AK$6*$P9/$T$4*VLOOKUP($M9,CÁRNICOS!$CD$13:$CJ$48,4,FALSE),AK$5*$P9/$T$4*$AK$1)</f>
        <v>0</v>
      </c>
      <c r="AL9" s="2">
        <f>+IF($D9&lt;&gt;"",AL$6*$Q9/$T$4*VLOOKUP($M9,CÁRNICOS!$CD$13:$CJ$48,4,FALSE),AL$5*$Q9/$T$4*$AK$1)</f>
        <v>0</v>
      </c>
      <c r="AM9" s="2">
        <f>+IF($D9&lt;&gt;"",AM$6*$R9/$T$4*VLOOKUP($M9,CÁRNICOS!$CD$13:$CJ$48,4,FALSE),AM$5*$R9/$T$4*$AK$1)</f>
        <v>0</v>
      </c>
      <c r="AN9" s="2">
        <f>+IF($D9&lt;&gt;"",AN$6*$S9/$T$4*VLOOKUP($M9,CÁRNICOS!$CD$13:$CJ$48,4,FALSE),AN$5*$S9/$T$4*$AK$1)</f>
        <v>0</v>
      </c>
      <c r="AO9" s="2">
        <f>+IF($D9&lt;&gt;"",AO$6*$T9/$T$4*VLOOKUP($M9,CÁRNICOS!$CD$13:$CJ$48,4,FALSE),AO$5*$T9/$T$4*$AK$1)</f>
        <v>0</v>
      </c>
      <c r="AP9" s="120">
        <f>IF($G9&lt;&gt;"",0,SUM(AK9:AO9))</f>
        <v>0</v>
      </c>
      <c r="AQ9" s="149">
        <f>+ROUNDUP(AP9/AQ$4,0)</f>
        <v>0</v>
      </c>
      <c r="AR9" s="120">
        <f>+IF(AP9*AQ9=0,0,(ROUNDUP(AP9/AQ9,3)))</f>
        <v>0</v>
      </c>
      <c r="AS9" s="2">
        <f>+IF($D9&lt;&gt;"",AS$6*$P9/$T$4*VLOOKUP($M9,CÁRNICOS!$CD$13:$CJ$48,5,FALSE),AS$5*$P9/$T$4*$AS$1)</f>
        <v>0</v>
      </c>
      <c r="AT9" s="2">
        <f>+IF($D9&lt;&gt;"",AT$6*$Q9/$T$4*VLOOKUP($M9,CÁRNICOS!$CD$13:$CJ$48,5,FALSE),AT$5*$Q9/$T$4*$AS$1)</f>
        <v>0</v>
      </c>
      <c r="AU9" s="2">
        <f>+IF($D9&lt;&gt;"",AU$6*$R9/$T$4*VLOOKUP($M9,CÁRNICOS!$CD$13:$CJ$48,5,FALSE),AU$5*$R9/$T$4*$AS$1)</f>
        <v>0</v>
      </c>
      <c r="AV9" s="2">
        <f>+IF($D9&lt;&gt;"",AV$6*$S9/$T$4*VLOOKUP($M9,CÁRNICOS!$CD$13:$CJ$48,5,FALSE),AV$5*$S9/$T$4*$AS$1)</f>
        <v>1.76</v>
      </c>
      <c r="AW9" s="2">
        <f>+IF($D9&lt;&gt;"",AW$6*$T9/$T$4*VLOOKUP($M9,CÁRNICOS!$CD$13:$CJ$48,5,FALSE),AW$5*$T9/$T$4*$AS$1)</f>
        <v>0</v>
      </c>
      <c r="AX9" s="120">
        <f>IF($H9&lt;&gt;"",0,SUM(AS9:AW9))</f>
        <v>1.76</v>
      </c>
      <c r="AY9" s="149">
        <f>+ROUNDUP(AX9/AY$4,0)</f>
        <v>1</v>
      </c>
      <c r="AZ9" s="120">
        <f>+IF(AX9*AY9=0,0,(ROUNDUP(AX9/AY9,3)))</f>
        <v>1.76</v>
      </c>
      <c r="BA9" s="2">
        <f>+IF($D9&lt;&gt;"",BA$6*$P9/$T$4*VLOOKUP($M9,CÁRNICOS!$CD$13:$CJ$48,6,FALSE),BA$5*$P9/$T$4*$BA$1)</f>
        <v>0</v>
      </c>
      <c r="BB9" s="2">
        <f>+IF($D9&lt;&gt;"",BB$6*$Q9/$T$4*VLOOKUP($M9,CÁRNICOS!$CD$13:$CJ$48,6,FALSE),BB$5*$Q9/$T$4*$BA$1)</f>
        <v>0</v>
      </c>
      <c r="BC9" s="2">
        <f>+IF($D9&lt;&gt;"",BC$6*$R9/$T$4*VLOOKUP($M9,CÁRNICOS!$CD$13:$CJ$48,6,FALSE),BC$5*$R9/$T$4*$BA$1)</f>
        <v>0</v>
      </c>
      <c r="BD9" s="2">
        <f>+IF($D9&lt;&gt;"",BD$6*$S9/$T$4*VLOOKUP($M9,CÁRNICOS!$CD$13:$CJ$48,6,FALSE),BD$5*$S9/$T$4*$BA$1)</f>
        <v>0</v>
      </c>
      <c r="BE9" s="2">
        <f>+IF($D9&lt;&gt;"",BE$6*$T9/$T$4*VLOOKUP($M9,CÁRNICOS!$CD$13:$CJ$48,6,FALSE),BE$5*$T9/$T$4*$BA$1)</f>
        <v>0</v>
      </c>
      <c r="BF9" s="120">
        <f t="shared" si="2"/>
        <v>0</v>
      </c>
      <c r="BG9" s="149">
        <f t="shared" si="3"/>
        <v>0</v>
      </c>
      <c r="BH9" s="120">
        <f t="shared" si="4"/>
        <v>0</v>
      </c>
      <c r="BI9" s="2">
        <f>+IF($D9&lt;&gt;"",BI$6*$P9/$T$4*VLOOKUP($M9,CÁRNICOS!$CD$13:$CJ$48,7,FALSE),BI$5*$P9/$T$4*$BI$1)</f>
        <v>0</v>
      </c>
      <c r="BJ9" s="2">
        <f>+IF($D9&lt;&gt;"",BJ$6*$Q9/$T$4*VLOOKUP($M9,CÁRNICOS!$CD$13:$CJ$48,7,FALSE),BJ$5*$Q9/$T$4*$BI$1)</f>
        <v>0</v>
      </c>
      <c r="BK9" s="2">
        <f>+IF($D9&lt;&gt;"",BK$6*$R9/$T$4*VLOOKUP($M9,CÁRNICOS!$CD$13:$CJ$48,7,FALSE),BK$5*$R9/$T$4*$BI$1)</f>
        <v>0</v>
      </c>
      <c r="BL9" s="2">
        <f>+IF($D9&lt;&gt;"",BL$6*$S9/$T$4*VLOOKUP($M9,CÁRNICOS!$CD$13:$CJ$48,7,FALSE),BL$5*$S9/$T$4*$BI$1)</f>
        <v>0</v>
      </c>
      <c r="BM9" s="2">
        <f>+IF($D9&lt;&gt;"",BM$6*$T9/$T$4*VLOOKUP($M9,CÁRNICOS!$CD$13:$CJ$48,7,FALSE),BM$5*$T9/$T$4*$BI$1)</f>
        <v>0</v>
      </c>
      <c r="BN9" s="120">
        <f t="shared" si="5"/>
        <v>0</v>
      </c>
      <c r="BO9" s="149">
        <f t="shared" ref="BO9:BO73" si="16">+ROUNDUP(BN9/BO$4,0)</f>
        <v>0</v>
      </c>
      <c r="BP9" s="120">
        <f t="shared" ref="BP9:BP73" si="17">+IF(BN9*BO9=0,0,(ROUNDUP(BN9/BO9,3)))</f>
        <v>0</v>
      </c>
      <c r="BR9" s="74">
        <f t="shared" si="6"/>
        <v>7</v>
      </c>
      <c r="BS9" s="74" t="str">
        <f t="shared" si="7"/>
        <v>AGUADAS</v>
      </c>
      <c r="BT9" s="74" t="str">
        <f t="shared" si="8"/>
        <v>INSTITUCION EDUCATIVA ESCUELA  NORMAL SUPERIOR CLAUDINA MUNERA</v>
      </c>
      <c r="BU9" s="74" t="str">
        <f t="shared" si="9"/>
        <v>INSTITUCION EDUCATIVA ESCUELA  NORMAL SUPERIOR CLAUDINA MUNERA - SEDE PRINCIPAL</v>
      </c>
      <c r="BV9" s="74">
        <f t="shared" si="10"/>
        <v>0</v>
      </c>
      <c r="BW9" s="74">
        <f t="shared" si="11"/>
        <v>0</v>
      </c>
      <c r="BX9" s="74">
        <f t="shared" si="12"/>
        <v>0</v>
      </c>
      <c r="BY9" s="74">
        <f t="shared" si="13"/>
        <v>1.76</v>
      </c>
      <c r="BZ9" s="74">
        <f t="shared" si="14"/>
        <v>0</v>
      </c>
      <c r="CA9" s="74">
        <f t="shared" si="15"/>
        <v>0</v>
      </c>
      <c r="CD9"/>
      <c r="CE9"/>
      <c r="CF9"/>
      <c r="CG9"/>
      <c r="CH9"/>
      <c r="CI9"/>
      <c r="CJ9"/>
    </row>
    <row r="10" spans="2:88" ht="29.95" customHeight="1" x14ac:dyDescent="0.3">
      <c r="B10" s="46">
        <f>+COUNTIF($M$8:M10,M10)</f>
        <v>3</v>
      </c>
      <c r="C10" s="14">
        <f>SUM(P10:T10)</f>
        <v>61</v>
      </c>
      <c r="D10" s="22" t="s">
        <v>73</v>
      </c>
      <c r="E10" s="124"/>
      <c r="F10" s="60"/>
      <c r="G10" s="60"/>
      <c r="H10" s="60"/>
      <c r="I10" s="60"/>
      <c r="J10" s="60"/>
      <c r="K10" s="59"/>
      <c r="L10" s="122">
        <v>7</v>
      </c>
      <c r="M10" s="164" t="s">
        <v>38</v>
      </c>
      <c r="N10" s="164" t="s">
        <v>39</v>
      </c>
      <c r="O10" s="165" t="s">
        <v>22</v>
      </c>
      <c r="P10" s="166">
        <v>5</v>
      </c>
      <c r="Q10" s="166">
        <v>56</v>
      </c>
      <c r="R10" s="167">
        <v>0</v>
      </c>
      <c r="S10" s="74">
        <v>0</v>
      </c>
      <c r="T10" s="74">
        <v>0</v>
      </c>
      <c r="U10" s="2">
        <f>+IF($D10&lt;&gt;"",U$6*$P10/$T$4*VLOOKUP($M10,CÁRNICOS!$CD$13:$CJ$48,2,FALSE),U$5*$P10/$T$4*$U$1)</f>
        <v>0</v>
      </c>
      <c r="V10" s="2">
        <f>+IF($D10&lt;&gt;"",V$6*$Q10/$T$4*VLOOKUP($M10,CÁRNICOS!$CD$13:$CJ$48,2,FALSE),V$5*$Q10/$T$4*$U$1)</f>
        <v>0</v>
      </c>
      <c r="W10" s="2">
        <f>+IF($D10&lt;&gt;"",W$6*$R10/$T$4*VLOOKUP($M10,CÁRNICOS!$CD$13:$CJ$48,2,FALSE),W$5*$R10/$T$4*$U$1)</f>
        <v>0</v>
      </c>
      <c r="X10" s="2">
        <f>+IF($D10&lt;&gt;"",X$6*$S10/$T$4*VLOOKUP($M10,CÁRNICOS!$CD$13:$CJ$48,2,FALSE),X$5*$S10/$T$4*$U$1)</f>
        <v>0</v>
      </c>
      <c r="Y10" s="2">
        <f>+IF($D10&lt;&gt;"",Y$6*$T10/$T$4*VLOOKUP($M10,CÁRNICOS!$CD$13:$CJ$48,2,FALSE),Y$5*$T10/$T$4*$U$1)</f>
        <v>0</v>
      </c>
      <c r="Z10" s="146">
        <f>IF($E10&lt;&gt;"",0,SUM(U10:Y10))</f>
        <v>0</v>
      </c>
      <c r="AA10" s="149">
        <f>+ROUNDUP(Z10/AA$4,0)</f>
        <v>0</v>
      </c>
      <c r="AB10" s="120">
        <f>+IF(Z10*AA10=0,0,(ROUNDUP(Z10/AA10,3)))</f>
        <v>0</v>
      </c>
      <c r="AC10" s="147">
        <f>+IF($D10&lt;&gt;"",AC$6*$P10/$T$4*VLOOKUP($M10,CÁRNICOS!$CD$13:$CJ$48,3,FALSE),AC$5*$P10/$T$4*$AC$1)</f>
        <v>0</v>
      </c>
      <c r="AD10" s="147">
        <f>+IF($D10&lt;&gt;"",AD$6*$Q10/$T$4*VLOOKUP($M10,CÁRNICOS!$CD$13:$CJ$48,3,FALSE),AD$5*$Q10/$T$4*$AC$1)</f>
        <v>0</v>
      </c>
      <c r="AE10" s="2">
        <f>+IF($D10&lt;&gt;"",AE$6*$R10/$T$4*VLOOKUP($M10,CÁRNICOS!$CD$13:$CJ$48,3,FALSE),AE$5*$R10/$T$4*$AC$1)</f>
        <v>0</v>
      </c>
      <c r="AF10" s="2">
        <f>+IF($D10&lt;&gt;"",AF$6*$S10/$T$4*VLOOKUP($M10,CÁRNICOS!$CD$13:$CJ$48,3,FALSE),AF$5*$S10/$T$4*$AC$1)</f>
        <v>0</v>
      </c>
      <c r="AG10" s="2">
        <f>+IF($D10&lt;&gt;"",AG$6*$T10/$T$4*VLOOKUP($M10,CÁRNICOS!$CD$13:$CJ$48,3,FALSE),AG$5*$T10/$T$4*$AC$1)</f>
        <v>0</v>
      </c>
      <c r="AH10" s="120">
        <f>IF($F10&lt;&gt;"",0,SUM(AC10:AG10))</f>
        <v>0</v>
      </c>
      <c r="AI10" s="149">
        <f>+ROUNDUP(AH10/AI$4,0)</f>
        <v>0</v>
      </c>
      <c r="AJ10" s="120">
        <f>+IF(AH10*AI10=0,0,(ROUNDUP(AH10/AI10,3)))</f>
        <v>0</v>
      </c>
      <c r="AK10" s="2">
        <f>+IF($D10&lt;&gt;"",AK$6*$P10/$T$4*VLOOKUP($M10,CÁRNICOS!$CD$13:$CJ$48,4,FALSE),AK$5*$P10/$T$4*$AK$1)</f>
        <v>0</v>
      </c>
      <c r="AL10" s="2">
        <f>+IF($D10&lt;&gt;"",AL$6*$Q10/$T$4*VLOOKUP($M10,CÁRNICOS!$CD$13:$CJ$48,4,FALSE),AL$5*$Q10/$T$4*$AK$1)</f>
        <v>0</v>
      </c>
      <c r="AM10" s="2">
        <f>+IF($D10&lt;&gt;"",AM$6*$R10/$T$4*VLOOKUP($M10,CÁRNICOS!$CD$13:$CJ$48,4,FALSE),AM$5*$R10/$T$4*$AK$1)</f>
        <v>0</v>
      </c>
      <c r="AN10" s="2">
        <f>+IF($D10&lt;&gt;"",AN$6*$S10/$T$4*VLOOKUP($M10,CÁRNICOS!$CD$13:$CJ$48,4,FALSE),AN$5*$S10/$T$4*$AK$1)</f>
        <v>0</v>
      </c>
      <c r="AO10" s="2">
        <f>+IF($D10&lt;&gt;"",AO$6*$T10/$T$4*VLOOKUP($M10,CÁRNICOS!$CD$13:$CJ$48,4,FALSE),AO$5*$T10/$T$4*$AK$1)</f>
        <v>0</v>
      </c>
      <c r="AP10" s="120">
        <f>IF($G10&lt;&gt;"",0,SUM(AK10:AO10))</f>
        <v>0</v>
      </c>
      <c r="AQ10" s="149">
        <f>+ROUNDUP(AP10/AQ$4,0)</f>
        <v>0</v>
      </c>
      <c r="AR10" s="120">
        <f>+IF(AP10*AQ10=0,0,(ROUNDUP(AP10/AQ10,3)))</f>
        <v>0</v>
      </c>
      <c r="AS10" s="2">
        <f>+IF($D10&lt;&gt;"",AS$6*$P10/$T$4*VLOOKUP($M10,CÁRNICOS!$CD$13:$CJ$48,5,FALSE),AS$5*$P10/$T$4*$AS$1)</f>
        <v>0.27</v>
      </c>
      <c r="AT10" s="2">
        <f>+IF($D10&lt;&gt;"",AT$6*$Q10/$T$4*VLOOKUP($M10,CÁRNICOS!$CD$13:$CJ$48,5,FALSE),AT$5*$Q10/$T$4*$AS$1)</f>
        <v>3.024</v>
      </c>
      <c r="AU10" s="2">
        <f>+IF($D10&lt;&gt;"",AU$6*$R10/$T$4*VLOOKUP($M10,CÁRNICOS!$CD$13:$CJ$48,5,FALSE),AU$5*$R10/$T$4*$AS$1)</f>
        <v>0</v>
      </c>
      <c r="AV10" s="2">
        <f>+IF($D10&lt;&gt;"",AV$6*$S10/$T$4*VLOOKUP($M10,CÁRNICOS!$CD$13:$CJ$48,5,FALSE),AV$5*$S10/$T$4*$AS$1)</f>
        <v>0</v>
      </c>
      <c r="AW10" s="2">
        <f>+IF($D10&lt;&gt;"",AW$6*$T10/$T$4*VLOOKUP($M10,CÁRNICOS!$CD$13:$CJ$48,5,FALSE),AW$5*$T10/$T$4*$AS$1)</f>
        <v>0</v>
      </c>
      <c r="AX10" s="120">
        <f>IF($H10&lt;&gt;"",0,SUM(AS10:AW10))</f>
        <v>3.294</v>
      </c>
      <c r="AY10" s="149">
        <f>+ROUNDUP(AX10/AY$4,0)</f>
        <v>1</v>
      </c>
      <c r="AZ10" s="120">
        <f>+IF(AX10*AY10=0,0,(ROUNDUP(AX10/AY10,3)))</f>
        <v>3.294</v>
      </c>
      <c r="BA10" s="2">
        <f>+IF($D10&lt;&gt;"",BA$6*$P10/$T$4*VLOOKUP($M10,CÁRNICOS!$CD$13:$CJ$48,6,FALSE),BA$5*$P10/$T$4*$BA$1)</f>
        <v>0</v>
      </c>
      <c r="BB10" s="2">
        <f>+IF($D10&lt;&gt;"",BB$6*$Q10/$T$4*VLOOKUP($M10,CÁRNICOS!$CD$13:$CJ$48,6,FALSE),BB$5*$Q10/$T$4*$BA$1)</f>
        <v>0</v>
      </c>
      <c r="BC10" s="2">
        <f>+IF($D10&lt;&gt;"",BC$6*$R10/$T$4*VLOOKUP($M10,CÁRNICOS!$CD$13:$CJ$48,6,FALSE),BC$5*$R10/$T$4*$BA$1)</f>
        <v>0</v>
      </c>
      <c r="BD10" s="2">
        <f>+IF($D10&lt;&gt;"",BD$6*$S10/$T$4*VLOOKUP($M10,CÁRNICOS!$CD$13:$CJ$48,6,FALSE),BD$5*$S10/$T$4*$BA$1)</f>
        <v>0</v>
      </c>
      <c r="BE10" s="2">
        <f>+IF($D10&lt;&gt;"",BE$6*$T10/$T$4*VLOOKUP($M10,CÁRNICOS!$CD$13:$CJ$48,6,FALSE),BE$5*$T10/$T$4*$BA$1)</f>
        <v>0</v>
      </c>
      <c r="BF10" s="120">
        <f t="shared" si="2"/>
        <v>0</v>
      </c>
      <c r="BG10" s="149">
        <f t="shared" si="3"/>
        <v>0</v>
      </c>
      <c r="BH10" s="120">
        <f t="shared" si="4"/>
        <v>0</v>
      </c>
      <c r="BI10" s="2">
        <f>+IF($D10&lt;&gt;"",BI$6*$P10/$T$4*VLOOKUP($M10,CÁRNICOS!$CD$13:$CJ$48,7,FALSE),BI$5*$P10/$T$4*$BI$1)</f>
        <v>0</v>
      </c>
      <c r="BJ10" s="2">
        <f>+IF($D10&lt;&gt;"",BJ$6*$Q10/$T$4*VLOOKUP($M10,CÁRNICOS!$CD$13:$CJ$48,7,FALSE),BJ$5*$Q10/$T$4*$BI$1)</f>
        <v>0</v>
      </c>
      <c r="BK10" s="2">
        <f>+IF($D10&lt;&gt;"",BK$6*$R10/$T$4*VLOOKUP($M10,CÁRNICOS!$CD$13:$CJ$48,7,FALSE),BK$5*$R10/$T$4*$BI$1)</f>
        <v>0</v>
      </c>
      <c r="BL10" s="2">
        <f>+IF($D10&lt;&gt;"",BL$6*$S10/$T$4*VLOOKUP($M10,CÁRNICOS!$CD$13:$CJ$48,7,FALSE),BL$5*$S10/$T$4*$BI$1)</f>
        <v>0</v>
      </c>
      <c r="BM10" s="2">
        <f>+IF($D10&lt;&gt;"",BM$6*$T10/$T$4*VLOOKUP($M10,CÁRNICOS!$CD$13:$CJ$48,7,FALSE),BM$5*$T10/$T$4*$BI$1)</f>
        <v>0</v>
      </c>
      <c r="BN10" s="120">
        <f t="shared" si="5"/>
        <v>0</v>
      </c>
      <c r="BO10" s="149">
        <f t="shared" si="16"/>
        <v>0</v>
      </c>
      <c r="BP10" s="120">
        <f t="shared" si="17"/>
        <v>0</v>
      </c>
      <c r="BR10" s="74">
        <f t="shared" si="6"/>
        <v>7</v>
      </c>
      <c r="BS10" s="74" t="str">
        <f t="shared" si="7"/>
        <v>AGUADAS</v>
      </c>
      <c r="BT10" s="74" t="str">
        <f t="shared" si="8"/>
        <v>INSTITUCION EDUCATIVA LICEO CLAUDINA MUNERA</v>
      </c>
      <c r="BU10" s="74" t="str">
        <f t="shared" si="9"/>
        <v>ESCUELA SANTA TERESITA</v>
      </c>
      <c r="BV10" s="74">
        <f t="shared" si="10"/>
        <v>0</v>
      </c>
      <c r="BW10" s="74">
        <f t="shared" si="11"/>
        <v>0</v>
      </c>
      <c r="BX10" s="74">
        <f t="shared" si="12"/>
        <v>0</v>
      </c>
      <c r="BY10" s="74">
        <f t="shared" si="13"/>
        <v>3.294</v>
      </c>
      <c r="BZ10" s="74">
        <f t="shared" si="14"/>
        <v>0</v>
      </c>
      <c r="CA10" s="74">
        <f t="shared" si="15"/>
        <v>0</v>
      </c>
      <c r="CD10" s="159" t="s">
        <v>72</v>
      </c>
      <c r="CE10" s="130"/>
      <c r="CF10" s="130"/>
      <c r="CG10" s="130"/>
      <c r="CH10" s="130">
        <v>1</v>
      </c>
      <c r="CI10" s="130"/>
      <c r="CJ10" s="130"/>
    </row>
    <row r="11" spans="2:88" ht="29.95" customHeight="1" x14ac:dyDescent="0.3">
      <c r="B11" s="46">
        <f>+COUNTIF($M$8:M11,M11)</f>
        <v>4</v>
      </c>
      <c r="C11" s="14">
        <f>SUM(P11:T11)</f>
        <v>62</v>
      </c>
      <c r="D11" s="22" t="s">
        <v>73</v>
      </c>
      <c r="E11" s="124"/>
      <c r="F11" s="60"/>
      <c r="G11" s="60"/>
      <c r="H11" s="60"/>
      <c r="I11" s="60"/>
      <c r="J11" s="60"/>
      <c r="K11" s="59"/>
      <c r="L11" s="122">
        <v>7</v>
      </c>
      <c r="M11" s="164" t="s">
        <v>38</v>
      </c>
      <c r="N11" s="164" t="s">
        <v>40</v>
      </c>
      <c r="O11" s="165" t="s">
        <v>274</v>
      </c>
      <c r="P11" s="166">
        <v>0</v>
      </c>
      <c r="Q11" s="166">
        <v>62</v>
      </c>
      <c r="R11" s="167">
        <v>0</v>
      </c>
      <c r="S11" s="74">
        <v>0</v>
      </c>
      <c r="T11" s="74">
        <v>0</v>
      </c>
      <c r="U11" s="2">
        <f>+IF($D11&lt;&gt;"",U$6*$P11/$T$4*VLOOKUP($M11,CÁRNICOS!$CD$13:$CJ$48,2,FALSE),U$5*$P11/$T$4*$U$1)</f>
        <v>0</v>
      </c>
      <c r="V11" s="2">
        <f>+IF($D11&lt;&gt;"",V$6*$Q11/$T$4*VLOOKUP($M11,CÁRNICOS!$CD$13:$CJ$48,2,FALSE),V$5*$Q11/$T$4*$U$1)</f>
        <v>0</v>
      </c>
      <c r="W11" s="2">
        <f>+IF($D11&lt;&gt;"",W$6*$R11/$T$4*VLOOKUP($M11,CÁRNICOS!$CD$13:$CJ$48,2,FALSE),W$5*$R11/$T$4*$U$1)</f>
        <v>0</v>
      </c>
      <c r="X11" s="2">
        <f>+IF($D11&lt;&gt;"",X$6*$S11/$T$4*VLOOKUP($M11,CÁRNICOS!$CD$13:$CJ$48,2,FALSE),X$5*$S11/$T$4*$U$1)</f>
        <v>0</v>
      </c>
      <c r="Y11" s="2">
        <f>+IF($D11&lt;&gt;"",Y$6*$T11/$T$4*VLOOKUP($M11,CÁRNICOS!$CD$13:$CJ$48,2,FALSE),Y$5*$T11/$T$4*$U$1)</f>
        <v>0</v>
      </c>
      <c r="Z11" s="146">
        <f>IF($E11&lt;&gt;"",0,SUM(U11:Y11))</f>
        <v>0</v>
      </c>
      <c r="AA11" s="149">
        <f>+ROUNDUP(Z11/AA$4,0)</f>
        <v>0</v>
      </c>
      <c r="AB11" s="120">
        <f>+IF(Z11*AA11=0,0,(ROUNDUP(Z11/AA11,3)))</f>
        <v>0</v>
      </c>
      <c r="AC11" s="147">
        <f>+IF($D11&lt;&gt;"",AC$6*$P11/$T$4*VLOOKUP($M11,CÁRNICOS!$CD$13:$CJ$48,3,FALSE),AC$5*$P11/$T$4*$AC$1)</f>
        <v>0</v>
      </c>
      <c r="AD11" s="147">
        <f>+IF($D11&lt;&gt;"",AD$6*$Q11/$T$4*VLOOKUP($M11,CÁRNICOS!$CD$13:$CJ$48,3,FALSE),AD$5*$Q11/$T$4*$AC$1)</f>
        <v>0</v>
      </c>
      <c r="AE11" s="2">
        <f>+IF($D11&lt;&gt;"",AE$6*$R11/$T$4*VLOOKUP($M11,CÁRNICOS!$CD$13:$CJ$48,3,FALSE),AE$5*$R11/$T$4*$AC$1)</f>
        <v>0</v>
      </c>
      <c r="AF11" s="2">
        <f>+IF($D11&lt;&gt;"",AF$6*$S11/$T$4*VLOOKUP($M11,CÁRNICOS!$CD$13:$CJ$48,3,FALSE),AF$5*$S11/$T$4*$AC$1)</f>
        <v>0</v>
      </c>
      <c r="AG11" s="2">
        <f>+IF($D11&lt;&gt;"",AG$6*$T11/$T$4*VLOOKUP($M11,CÁRNICOS!$CD$13:$CJ$48,3,FALSE),AG$5*$T11/$T$4*$AC$1)</f>
        <v>0</v>
      </c>
      <c r="AH11" s="120">
        <f>IF($F11&lt;&gt;"",0,SUM(AC11:AG11))</f>
        <v>0</v>
      </c>
      <c r="AI11" s="149">
        <f>+ROUNDUP(AH11/AI$4,0)</f>
        <v>0</v>
      </c>
      <c r="AJ11" s="120">
        <f>+IF(AH11*AI11=0,0,(ROUNDUP(AH11/AI11,3)))</f>
        <v>0</v>
      </c>
      <c r="AK11" s="2">
        <f>+IF($D11&lt;&gt;"",AK$6*$P11/$T$4*VLOOKUP($M11,CÁRNICOS!$CD$13:$CJ$48,4,FALSE),AK$5*$P11/$T$4*$AK$1)</f>
        <v>0</v>
      </c>
      <c r="AL11" s="2">
        <f>+IF($D11&lt;&gt;"",AL$6*$Q11/$T$4*VLOOKUP($M11,CÁRNICOS!$CD$13:$CJ$48,4,FALSE),AL$5*$Q11/$T$4*$AK$1)</f>
        <v>0</v>
      </c>
      <c r="AM11" s="2">
        <f>+IF($D11&lt;&gt;"",AM$6*$R11/$T$4*VLOOKUP($M11,CÁRNICOS!$CD$13:$CJ$48,4,FALSE),AM$5*$R11/$T$4*$AK$1)</f>
        <v>0</v>
      </c>
      <c r="AN11" s="2">
        <f>+IF($D11&lt;&gt;"",AN$6*$S11/$T$4*VLOOKUP($M11,CÁRNICOS!$CD$13:$CJ$48,4,FALSE),AN$5*$S11/$T$4*$AK$1)</f>
        <v>0</v>
      </c>
      <c r="AO11" s="2">
        <f>+IF($D11&lt;&gt;"",AO$6*$T11/$T$4*VLOOKUP($M11,CÁRNICOS!$CD$13:$CJ$48,4,FALSE),AO$5*$T11/$T$4*$AK$1)</f>
        <v>0</v>
      </c>
      <c r="AP11" s="120">
        <f>IF($G11&lt;&gt;"",0,SUM(AK11:AO11))</f>
        <v>0</v>
      </c>
      <c r="AQ11" s="149">
        <f>+ROUNDUP(AP11/AQ$4,0)</f>
        <v>0</v>
      </c>
      <c r="AR11" s="120">
        <f>+IF(AP11*AQ11=0,0,(ROUNDUP(AP11/AQ11,3)))</f>
        <v>0</v>
      </c>
      <c r="AS11" s="2">
        <f>+IF($D11&lt;&gt;"",AS$6*$P11/$T$4*VLOOKUP($M11,CÁRNICOS!$CD$13:$CJ$48,5,FALSE),AS$5*$P11/$T$4*$AS$1)</f>
        <v>0</v>
      </c>
      <c r="AT11" s="2">
        <f>+IF($D11&lt;&gt;"",AT$6*$Q11/$T$4*VLOOKUP($M11,CÁRNICOS!$CD$13:$CJ$48,5,FALSE),AT$5*$Q11/$T$4*$AS$1)</f>
        <v>3.3479999999999999</v>
      </c>
      <c r="AU11" s="2">
        <f>+IF($D11&lt;&gt;"",AU$6*$R11/$T$4*VLOOKUP($M11,CÁRNICOS!$CD$13:$CJ$48,5,FALSE),AU$5*$R11/$T$4*$AS$1)</f>
        <v>0</v>
      </c>
      <c r="AV11" s="2">
        <f>+IF($D11&lt;&gt;"",AV$6*$S11/$T$4*VLOOKUP($M11,CÁRNICOS!$CD$13:$CJ$48,5,FALSE),AV$5*$S11/$T$4*$AS$1)</f>
        <v>0</v>
      </c>
      <c r="AW11" s="2">
        <f>+IF($D11&lt;&gt;"",AW$6*$T11/$T$4*VLOOKUP($M11,CÁRNICOS!$CD$13:$CJ$48,5,FALSE),AW$5*$T11/$T$4*$AS$1)</f>
        <v>0</v>
      </c>
      <c r="AX11" s="120">
        <f>IF($H11&lt;&gt;"",0,SUM(AS11:AW11))</f>
        <v>3.3479999999999999</v>
      </c>
      <c r="AY11" s="149">
        <f>+ROUNDUP(AX11/AY$4,0)</f>
        <v>1</v>
      </c>
      <c r="AZ11" s="120">
        <f>+IF(AX11*AY11=0,0,(ROUNDUP(AX11/AY11,3)))</f>
        <v>3.3479999999999999</v>
      </c>
      <c r="BA11" s="2">
        <f>+IF($D11&lt;&gt;"",BA$6*$P11/$T$4*VLOOKUP($M11,CÁRNICOS!$CD$13:$CJ$48,6,FALSE),BA$5*$P11/$T$4*$BA$1)</f>
        <v>0</v>
      </c>
      <c r="BB11" s="2">
        <f>+IF($D11&lt;&gt;"",BB$6*$Q11/$T$4*VLOOKUP($M11,CÁRNICOS!$CD$13:$CJ$48,6,FALSE),BB$5*$Q11/$T$4*$BA$1)</f>
        <v>0</v>
      </c>
      <c r="BC11" s="2">
        <f>+IF($D11&lt;&gt;"",BC$6*$R11/$T$4*VLOOKUP($M11,CÁRNICOS!$CD$13:$CJ$48,6,FALSE),BC$5*$R11/$T$4*$BA$1)</f>
        <v>0</v>
      </c>
      <c r="BD11" s="2">
        <f>+IF($D11&lt;&gt;"",BD$6*$S11/$T$4*VLOOKUP($M11,CÁRNICOS!$CD$13:$CJ$48,6,FALSE),BD$5*$S11/$T$4*$BA$1)</f>
        <v>0</v>
      </c>
      <c r="BE11" s="2">
        <f>+IF($D11&lt;&gt;"",BE$6*$T11/$T$4*VLOOKUP($M11,CÁRNICOS!$CD$13:$CJ$48,6,FALSE),BE$5*$T11/$T$4*$BA$1)</f>
        <v>0</v>
      </c>
      <c r="BF11" s="120">
        <f t="shared" si="2"/>
        <v>0</v>
      </c>
      <c r="BG11" s="149">
        <f t="shared" si="3"/>
        <v>0</v>
      </c>
      <c r="BH11" s="120">
        <f t="shared" si="4"/>
        <v>0</v>
      </c>
      <c r="BI11" s="2">
        <f>+IF($D11&lt;&gt;"",BI$6*$P11/$T$4*VLOOKUP($M11,CÁRNICOS!$CD$13:$CJ$48,7,FALSE),BI$5*$P11/$T$4*$BI$1)</f>
        <v>0</v>
      </c>
      <c r="BJ11" s="2">
        <f>+IF($D11&lt;&gt;"",BJ$6*$Q11/$T$4*VLOOKUP($M11,CÁRNICOS!$CD$13:$CJ$48,7,FALSE),BJ$5*$Q11/$T$4*$BI$1)</f>
        <v>0</v>
      </c>
      <c r="BK11" s="2">
        <f>+IF($D11&lt;&gt;"",BK$6*$R11/$T$4*VLOOKUP($M11,CÁRNICOS!$CD$13:$CJ$48,7,FALSE),BK$5*$R11/$T$4*$BI$1)</f>
        <v>0</v>
      </c>
      <c r="BL11" s="2">
        <f>+IF($D11&lt;&gt;"",BL$6*$S11/$T$4*VLOOKUP($M11,CÁRNICOS!$CD$13:$CJ$48,7,FALSE),BL$5*$S11/$T$4*$BI$1)</f>
        <v>0</v>
      </c>
      <c r="BM11" s="2">
        <f>+IF($D11&lt;&gt;"",BM$6*$T11/$T$4*VLOOKUP($M11,CÁRNICOS!$CD$13:$CJ$48,7,FALSE),BM$5*$T11/$T$4*$BI$1)</f>
        <v>0</v>
      </c>
      <c r="BN11" s="120">
        <f t="shared" si="5"/>
        <v>0</v>
      </c>
      <c r="BO11" s="149">
        <f t="shared" si="16"/>
        <v>0</v>
      </c>
      <c r="BP11" s="120">
        <f t="shared" si="17"/>
        <v>0</v>
      </c>
      <c r="BR11" s="74">
        <f t="shared" si="6"/>
        <v>7</v>
      </c>
      <c r="BS11" s="74" t="str">
        <f t="shared" si="7"/>
        <v>AGUADAS</v>
      </c>
      <c r="BT11" s="74" t="str">
        <f t="shared" si="8"/>
        <v>INSTITUCION EDUCATIVA MARINO GOMEZ ESTRADA</v>
      </c>
      <c r="BU11" s="74" t="str">
        <f t="shared" si="9"/>
        <v>INSTITUCION EDUCATIVA MARINO GOMEZ ESTRADA - SEDE PRINCIPAL (PRIMARIA)</v>
      </c>
      <c r="BV11" s="74">
        <f t="shared" si="10"/>
        <v>0</v>
      </c>
      <c r="BW11" s="74">
        <f t="shared" si="11"/>
        <v>0</v>
      </c>
      <c r="BX11" s="74">
        <f t="shared" si="12"/>
        <v>0</v>
      </c>
      <c r="BY11" s="74">
        <f t="shared" si="13"/>
        <v>3.3479999999999999</v>
      </c>
      <c r="BZ11" s="74">
        <f t="shared" si="14"/>
        <v>0</v>
      </c>
      <c r="CA11" s="74">
        <f t="shared" si="15"/>
        <v>0</v>
      </c>
      <c r="CD11" s="131" t="s">
        <v>77</v>
      </c>
      <c r="CE11" s="132"/>
      <c r="CF11" s="132"/>
      <c r="CG11" s="132"/>
      <c r="CH11" s="132">
        <v>1</v>
      </c>
      <c r="CI11" s="132"/>
      <c r="CJ11" s="132"/>
    </row>
    <row r="12" spans="2:88" ht="29.95" customHeight="1" x14ac:dyDescent="0.3">
      <c r="B12" s="46">
        <f>+B11+1</f>
        <v>5</v>
      </c>
      <c r="C12" s="14">
        <f>SUM(P12:T12)</f>
        <v>53</v>
      </c>
      <c r="D12" s="22" t="s">
        <v>73</v>
      </c>
      <c r="E12" s="124"/>
      <c r="F12" s="60"/>
      <c r="G12" s="60"/>
      <c r="H12" s="60"/>
      <c r="I12" s="60"/>
      <c r="J12" s="60"/>
      <c r="K12" s="59"/>
      <c r="L12" s="122">
        <v>2</v>
      </c>
      <c r="M12" s="162" t="s">
        <v>32</v>
      </c>
      <c r="N12" s="162" t="s">
        <v>233</v>
      </c>
      <c r="O12" s="163" t="s">
        <v>234</v>
      </c>
      <c r="P12" s="74">
        <v>41</v>
      </c>
      <c r="Q12" s="74">
        <v>12</v>
      </c>
      <c r="R12" s="139">
        <v>0</v>
      </c>
      <c r="S12" s="74">
        <v>0</v>
      </c>
      <c r="T12" s="74">
        <v>0</v>
      </c>
      <c r="U12" s="2">
        <f>+IF($D12&lt;&gt;"",U$6*$P12/$T$4*VLOOKUP($M12,CÁRNICOS!$CD$13:$CJ$48,2,FALSE),U$5*$P12/$T$4*$U$1)</f>
        <v>0</v>
      </c>
      <c r="V12" s="2">
        <f>+IF($D12&lt;&gt;"",V$6*$Q12/$T$4*VLOOKUP($M12,CÁRNICOS!$CD$13:$CJ$48,2,FALSE),V$5*$Q12/$T$4*$U$1)</f>
        <v>0</v>
      </c>
      <c r="W12" s="2">
        <f>+IF($D12&lt;&gt;"",W$6*$R12/$T$4*VLOOKUP($M12,CÁRNICOS!$CD$13:$CJ$48,2,FALSE),W$5*$R12/$T$4*$U$1)</f>
        <v>0</v>
      </c>
      <c r="X12" s="2">
        <f>+IF($D12&lt;&gt;"",X$6*$S12/$T$4*VLOOKUP($M12,CÁRNICOS!$CD$13:$CJ$48,2,FALSE),X$5*$S12/$T$4*$U$1)</f>
        <v>0</v>
      </c>
      <c r="Y12" s="2">
        <f>+IF($D12&lt;&gt;"",Y$6*$T12/$T$4*VLOOKUP($M12,CÁRNICOS!$CD$13:$CJ$48,2,FALSE),Y$5*$T12/$T$4*$U$1)</f>
        <v>0</v>
      </c>
      <c r="Z12" s="146">
        <f>IF($E12&lt;&gt;"",0,SUM(U12:Y12))</f>
        <v>0</v>
      </c>
      <c r="AA12" s="149">
        <f>+ROUNDUP(Z12/AA$4,0)</f>
        <v>0</v>
      </c>
      <c r="AB12" s="120">
        <f>+IF(Z12*AA12=0,0,(ROUNDUP(Z12/AA12,3)))</f>
        <v>0</v>
      </c>
      <c r="AC12" s="147">
        <f>+IF($D12&lt;&gt;"",AC$6*$P12/$T$4*VLOOKUP($M12,CÁRNICOS!$CD$13:$CJ$48,3,FALSE),AC$5*$P12/$T$4*$AC$1)</f>
        <v>0</v>
      </c>
      <c r="AD12" s="147">
        <f>+IF($D12&lt;&gt;"",AD$6*$Q12/$T$4*VLOOKUP($M12,CÁRNICOS!$CD$13:$CJ$48,3,FALSE),AD$5*$Q12/$T$4*$AC$1)</f>
        <v>0</v>
      </c>
      <c r="AE12" s="2">
        <f>+IF($D12&lt;&gt;"",AE$6*$R12/$T$4*VLOOKUP($M12,CÁRNICOS!$CD$13:$CJ$48,3,FALSE),AE$5*$R12/$T$4*$AC$1)</f>
        <v>0</v>
      </c>
      <c r="AF12" s="2">
        <f>+IF($D12&lt;&gt;"",AF$6*$S12/$T$4*VLOOKUP($M12,CÁRNICOS!$CD$13:$CJ$48,3,FALSE),AF$5*$S12/$T$4*$AC$1)</f>
        <v>0</v>
      </c>
      <c r="AG12" s="2">
        <f>+IF($D12&lt;&gt;"",AG$6*$T12/$T$4*VLOOKUP($M12,CÁRNICOS!$CD$13:$CJ$48,3,FALSE),AG$5*$T12/$T$4*$AC$1)</f>
        <v>0</v>
      </c>
      <c r="AH12" s="120">
        <f>IF($F12&lt;&gt;"",0,SUM(AC12:AG12))</f>
        <v>0</v>
      </c>
      <c r="AI12" s="149">
        <f>+ROUNDUP(AH12/AI$4,0)</f>
        <v>0</v>
      </c>
      <c r="AJ12" s="120">
        <f>+IF(AH12*AI12=0,0,(ROUNDUP(AH12/AI12,3)))</f>
        <v>0</v>
      </c>
      <c r="AK12" s="2">
        <f>+IF($D12&lt;&gt;"",AK$6*$P12/$T$4*VLOOKUP($M12,CÁRNICOS!$CD$13:$CJ$48,4,FALSE),AK$5*$P12/$T$4*$AK$1)</f>
        <v>0</v>
      </c>
      <c r="AL12" s="2">
        <f>+IF($D12&lt;&gt;"",AL$6*$Q12/$T$4*VLOOKUP($M12,CÁRNICOS!$CD$13:$CJ$48,4,FALSE),AL$5*$Q12/$T$4*$AK$1)</f>
        <v>0</v>
      </c>
      <c r="AM12" s="2">
        <f>+IF($D12&lt;&gt;"",AM$6*$R12/$T$4*VLOOKUP($M12,CÁRNICOS!$CD$13:$CJ$48,4,FALSE),AM$5*$R12/$T$4*$AK$1)</f>
        <v>0</v>
      </c>
      <c r="AN12" s="2">
        <f>+IF($D12&lt;&gt;"",AN$6*$S12/$T$4*VLOOKUP($M12,CÁRNICOS!$CD$13:$CJ$48,4,FALSE),AN$5*$S12/$T$4*$AK$1)</f>
        <v>0</v>
      </c>
      <c r="AO12" s="2">
        <f>+IF($D12&lt;&gt;"",AO$6*$T12/$T$4*VLOOKUP($M12,CÁRNICOS!$CD$13:$CJ$48,4,FALSE),AO$5*$T12/$T$4*$AK$1)</f>
        <v>0</v>
      </c>
      <c r="AP12" s="120">
        <f>IF($G12&lt;&gt;"",0,SUM(AK12:AO12))</f>
        <v>0</v>
      </c>
      <c r="AQ12" s="149">
        <f>+ROUNDUP(AP12/AQ$4,0)</f>
        <v>0</v>
      </c>
      <c r="AR12" s="120">
        <f>+IF(AP12*AQ12=0,0,(ROUNDUP(AP12/AQ12,3)))</f>
        <v>0</v>
      </c>
      <c r="AS12" s="2">
        <f>+IF($D12&lt;&gt;"",AS$6*$P12/$T$4*VLOOKUP($M12,CÁRNICOS!$CD$13:$CJ$48,5,FALSE),AS$5*$P12/$T$4*$AS$1)</f>
        <v>2.214</v>
      </c>
      <c r="AT12" s="2">
        <f>+IF($D12&lt;&gt;"",AT$6*$Q12/$T$4*VLOOKUP($M12,CÁRNICOS!$CD$13:$CJ$48,5,FALSE),AT$5*$Q12/$T$4*$AS$1)</f>
        <v>0.64800000000000002</v>
      </c>
      <c r="AU12" s="2">
        <f>+IF($D12&lt;&gt;"",AU$6*$R12/$T$4*VLOOKUP($M12,CÁRNICOS!$CD$13:$CJ$48,5,FALSE),AU$5*$R12/$T$4*$AS$1)</f>
        <v>0</v>
      </c>
      <c r="AV12" s="2">
        <f>+IF($D12&lt;&gt;"",AV$6*$S12/$T$4*VLOOKUP($M12,CÁRNICOS!$CD$13:$CJ$48,5,FALSE),AV$5*$S12/$T$4*$AS$1)</f>
        <v>0</v>
      </c>
      <c r="AW12" s="2">
        <f>+IF($D12&lt;&gt;"",AW$6*$T12/$T$4*VLOOKUP($M12,CÁRNICOS!$CD$13:$CJ$48,5,FALSE),AW$5*$T12/$T$4*$AS$1)</f>
        <v>0</v>
      </c>
      <c r="AX12" s="120">
        <f>IF($H12&lt;&gt;"",0,SUM(AS12:AW12))</f>
        <v>2.8620000000000001</v>
      </c>
      <c r="AY12" s="149">
        <f>+ROUNDUP(AX12/AY$4,0)</f>
        <v>1</v>
      </c>
      <c r="AZ12" s="120">
        <f>+IF(AX12*AY12=0,0,(ROUNDUP(AX12/AY12,3)))</f>
        <v>2.8620000000000001</v>
      </c>
      <c r="BA12" s="2">
        <f>+IF($D12&lt;&gt;"",BA$6*$P12/$T$4*VLOOKUP($M12,CÁRNICOS!$CD$13:$CJ$48,6,FALSE),BA$5*$P12/$T$4*$BA$1)</f>
        <v>0</v>
      </c>
      <c r="BB12" s="2">
        <f>+IF($D12&lt;&gt;"",BB$6*$Q12/$T$4*VLOOKUP($M12,CÁRNICOS!$CD$13:$CJ$48,6,FALSE),BB$5*$Q12/$T$4*$BA$1)</f>
        <v>0</v>
      </c>
      <c r="BC12" s="2">
        <f>+IF($D12&lt;&gt;"",BC$6*$R12/$T$4*VLOOKUP($M12,CÁRNICOS!$CD$13:$CJ$48,6,FALSE),BC$5*$R12/$T$4*$BA$1)</f>
        <v>0</v>
      </c>
      <c r="BD12" s="2">
        <f>+IF($D12&lt;&gt;"",BD$6*$S12/$T$4*VLOOKUP($M12,CÁRNICOS!$CD$13:$CJ$48,6,FALSE),BD$5*$S12/$T$4*$BA$1)</f>
        <v>0</v>
      </c>
      <c r="BE12" s="2">
        <f>+IF($D12&lt;&gt;"",BE$6*$T12/$T$4*VLOOKUP($M12,CÁRNICOS!$CD$13:$CJ$48,6,FALSE),BE$5*$T12/$T$4*$BA$1)</f>
        <v>0</v>
      </c>
      <c r="BF12" s="120">
        <f t="shared" si="2"/>
        <v>0</v>
      </c>
      <c r="BG12" s="149">
        <f t="shared" si="3"/>
        <v>0</v>
      </c>
      <c r="BH12" s="120">
        <f t="shared" si="4"/>
        <v>0</v>
      </c>
      <c r="BI12" s="2">
        <f>+IF($D12&lt;&gt;"",BI$6*$P12/$T$4*VLOOKUP($M12,CÁRNICOS!$CD$13:$CJ$48,7,FALSE),BI$5*$P12/$T$4*$BI$1)</f>
        <v>0</v>
      </c>
      <c r="BJ12" s="2">
        <f>+IF($D12&lt;&gt;"",BJ$6*$Q12/$T$4*VLOOKUP($M12,CÁRNICOS!$CD$13:$CJ$48,7,FALSE),BJ$5*$Q12/$T$4*$BI$1)</f>
        <v>0</v>
      </c>
      <c r="BK12" s="2">
        <f>+IF($D12&lt;&gt;"",BK$6*$R12/$T$4*VLOOKUP($M12,CÁRNICOS!$CD$13:$CJ$48,7,FALSE),BK$5*$R12/$T$4*$BI$1)</f>
        <v>0</v>
      </c>
      <c r="BL12" s="2">
        <f>+IF($D12&lt;&gt;"",BL$6*$S12/$T$4*VLOOKUP($M12,CÁRNICOS!$CD$13:$CJ$48,7,FALSE),BL$5*$S12/$T$4*$BI$1)</f>
        <v>0</v>
      </c>
      <c r="BM12" s="2">
        <f>+IF($D12&lt;&gt;"",BM$6*$T12/$T$4*VLOOKUP($M12,CÁRNICOS!$CD$13:$CJ$48,7,FALSE),BM$5*$T12/$T$4*$BI$1)</f>
        <v>0</v>
      </c>
      <c r="BN12" s="120">
        <f t="shared" si="5"/>
        <v>0</v>
      </c>
      <c r="BO12" s="149">
        <f t="shared" si="16"/>
        <v>0</v>
      </c>
      <c r="BP12" s="120">
        <f t="shared" si="17"/>
        <v>0</v>
      </c>
      <c r="BR12" s="74">
        <f t="shared" si="6"/>
        <v>2</v>
      </c>
      <c r="BS12" s="74" t="str">
        <f t="shared" si="7"/>
        <v>ANSERMA</v>
      </c>
      <c r="BT12" s="74" t="str">
        <f t="shared" si="8"/>
        <v>INSTITUCION EDUCATIVA AURELIANO FLOREZ CARDONA</v>
      </c>
      <c r="BU12" s="74" t="str">
        <f t="shared" si="9"/>
        <v>CENTRO EDUCATIVO SIMON BOLIVAR</v>
      </c>
      <c r="BV12" s="74">
        <f t="shared" si="10"/>
        <v>0</v>
      </c>
      <c r="BW12" s="74">
        <f t="shared" si="11"/>
        <v>0</v>
      </c>
      <c r="BX12" s="74">
        <f t="shared" si="12"/>
        <v>0</v>
      </c>
      <c r="BY12" s="74">
        <f t="shared" si="13"/>
        <v>2.8620000000000001</v>
      </c>
      <c r="BZ12" s="74">
        <f t="shared" si="14"/>
        <v>0</v>
      </c>
      <c r="CA12" s="74">
        <f t="shared" si="15"/>
        <v>0</v>
      </c>
      <c r="CD12" s="133" t="s">
        <v>64</v>
      </c>
      <c r="CE12" s="132" t="str">
        <f>+CONSOLIDADO!D$7</f>
        <v>CERDO 1</v>
      </c>
      <c r="CF12" s="132" t="str">
        <f>+CONSOLIDADO!I$7</f>
        <v>CERDO 2</v>
      </c>
      <c r="CG12" s="132" t="s">
        <v>54</v>
      </c>
      <c r="CH12" s="132" t="str">
        <f>+CONSOLIDADO!S$7</f>
        <v>POLLO 1</v>
      </c>
      <c r="CI12" s="132" t="str">
        <f>+CONSOLIDADO!X$7</f>
        <v>POLLO 2</v>
      </c>
      <c r="CJ12" s="134" t="str">
        <f>+CONSOLIDADO!AC$7</f>
        <v>POLLO 3</v>
      </c>
    </row>
    <row r="13" spans="2:88" ht="29.95" customHeight="1" x14ac:dyDescent="0.3">
      <c r="B13" s="46">
        <f>+B12+1</f>
        <v>6</v>
      </c>
      <c r="C13" s="14">
        <f>SUM(P13:T13)</f>
        <v>24</v>
      </c>
      <c r="D13" s="22" t="s">
        <v>73</v>
      </c>
      <c r="E13" s="124"/>
      <c r="F13" s="60"/>
      <c r="G13" s="60"/>
      <c r="H13" s="60"/>
      <c r="I13" s="60"/>
      <c r="J13" s="60"/>
      <c r="K13" s="59"/>
      <c r="L13" s="122">
        <v>3</v>
      </c>
      <c r="M13" s="162" t="s">
        <v>32</v>
      </c>
      <c r="N13" s="162" t="s">
        <v>235</v>
      </c>
      <c r="O13" s="163" t="s">
        <v>236</v>
      </c>
      <c r="P13" s="74">
        <v>0</v>
      </c>
      <c r="Q13" s="74">
        <v>24</v>
      </c>
      <c r="R13" s="139">
        <v>0</v>
      </c>
      <c r="S13" s="74">
        <v>0</v>
      </c>
      <c r="T13" s="74">
        <v>0</v>
      </c>
      <c r="U13" s="2">
        <f>+IF($D13&lt;&gt;"",U$6*$P13/$T$4*VLOOKUP($M13,CÁRNICOS!$CD$13:$CJ$48,2,FALSE),U$5*$P13/$T$4*$U$1)</f>
        <v>0</v>
      </c>
      <c r="V13" s="2">
        <f>+IF($D13&lt;&gt;"",V$6*$Q13/$T$4*VLOOKUP($M13,CÁRNICOS!$CD$13:$CJ$48,2,FALSE),V$5*$Q13/$T$4*$U$1)</f>
        <v>0</v>
      </c>
      <c r="W13" s="2">
        <f>+IF($D13&lt;&gt;"",W$6*$R13/$T$4*VLOOKUP($M13,CÁRNICOS!$CD$13:$CJ$48,2,FALSE),W$5*$R13/$T$4*$U$1)</f>
        <v>0</v>
      </c>
      <c r="X13" s="2">
        <f>+IF($D13&lt;&gt;"",X$6*$S13/$T$4*VLOOKUP($M13,CÁRNICOS!$CD$13:$CJ$48,2,FALSE),X$5*$S13/$T$4*$U$1)</f>
        <v>0</v>
      </c>
      <c r="Y13" s="2">
        <f>+IF($D13&lt;&gt;"",Y$6*$T13/$T$4*VLOOKUP($M13,CÁRNICOS!$CD$13:$CJ$48,2,FALSE),Y$5*$T13/$T$4*$U$1)</f>
        <v>0</v>
      </c>
      <c r="Z13" s="146">
        <f>IF($E13&lt;&gt;"",0,SUM(U13:Y13))</f>
        <v>0</v>
      </c>
      <c r="AA13" s="149">
        <f>+ROUNDUP(Z13/AA$4,0)</f>
        <v>0</v>
      </c>
      <c r="AB13" s="120">
        <f>+IF(Z13*AA13=0,0,(ROUNDUP(Z13/AA13,3)))</f>
        <v>0</v>
      </c>
      <c r="AC13" s="147">
        <f>+IF($D13&lt;&gt;"",AC$6*$P13/$T$4*VLOOKUP($M13,CÁRNICOS!$CD$13:$CJ$48,3,FALSE),AC$5*$P13/$T$4*$AC$1)</f>
        <v>0</v>
      </c>
      <c r="AD13" s="147">
        <f>+IF($D13&lt;&gt;"",AD$6*$Q13/$T$4*VLOOKUP($M13,CÁRNICOS!$CD$13:$CJ$48,3,FALSE),AD$5*$Q13/$T$4*$AC$1)</f>
        <v>0</v>
      </c>
      <c r="AE13" s="2">
        <f>+IF($D13&lt;&gt;"",AE$6*$R13/$T$4*VLOOKUP($M13,CÁRNICOS!$CD$13:$CJ$48,3,FALSE),AE$5*$R13/$T$4*$AC$1)</f>
        <v>0</v>
      </c>
      <c r="AF13" s="2">
        <f>+IF($D13&lt;&gt;"",AF$6*$S13/$T$4*VLOOKUP($M13,CÁRNICOS!$CD$13:$CJ$48,3,FALSE),AF$5*$S13/$T$4*$AC$1)</f>
        <v>0</v>
      </c>
      <c r="AG13" s="2">
        <f>+IF($D13&lt;&gt;"",AG$6*$T13/$T$4*VLOOKUP($M13,CÁRNICOS!$CD$13:$CJ$48,3,FALSE),AG$5*$T13/$T$4*$AC$1)</f>
        <v>0</v>
      </c>
      <c r="AH13" s="120">
        <f>IF($F13&lt;&gt;"",0,SUM(AC13:AG13))</f>
        <v>0</v>
      </c>
      <c r="AI13" s="149">
        <f>+ROUNDUP(AH13/AI$4,0)</f>
        <v>0</v>
      </c>
      <c r="AJ13" s="120">
        <f>+IF(AH13*AI13=0,0,(ROUNDUP(AH13/AI13,3)))</f>
        <v>0</v>
      </c>
      <c r="AK13" s="2">
        <f>+IF($D13&lt;&gt;"",AK$6*$P13/$T$4*VLOOKUP($M13,CÁRNICOS!$CD$13:$CJ$48,4,FALSE),AK$5*$P13/$T$4*$AK$1)</f>
        <v>0</v>
      </c>
      <c r="AL13" s="2">
        <f>+IF($D13&lt;&gt;"",AL$6*$Q13/$T$4*VLOOKUP($M13,CÁRNICOS!$CD$13:$CJ$48,4,FALSE),AL$5*$Q13/$T$4*$AK$1)</f>
        <v>0</v>
      </c>
      <c r="AM13" s="2">
        <f>+IF($D13&lt;&gt;"",AM$6*$R13/$T$4*VLOOKUP($M13,CÁRNICOS!$CD$13:$CJ$48,4,FALSE),AM$5*$R13/$T$4*$AK$1)</f>
        <v>0</v>
      </c>
      <c r="AN13" s="2">
        <f>+IF($D13&lt;&gt;"",AN$6*$S13/$T$4*VLOOKUP($M13,CÁRNICOS!$CD$13:$CJ$48,4,FALSE),AN$5*$S13/$T$4*$AK$1)</f>
        <v>0</v>
      </c>
      <c r="AO13" s="2">
        <f>+IF($D13&lt;&gt;"",AO$6*$T13/$T$4*VLOOKUP($M13,CÁRNICOS!$CD$13:$CJ$48,4,FALSE),AO$5*$T13/$T$4*$AK$1)</f>
        <v>0</v>
      </c>
      <c r="AP13" s="120">
        <f>IF($G13&lt;&gt;"",0,SUM(AK13:AO13))</f>
        <v>0</v>
      </c>
      <c r="AQ13" s="149">
        <f>+ROUNDUP(AP13/AQ$4,0)</f>
        <v>0</v>
      </c>
      <c r="AR13" s="120">
        <f>+IF(AP13*AQ13=0,0,(ROUNDUP(AP13/AQ13,3)))</f>
        <v>0</v>
      </c>
      <c r="AS13" s="2">
        <f>+IF($D13&lt;&gt;"",AS$6*$P13/$T$4*VLOOKUP($M13,CÁRNICOS!$CD$13:$CJ$48,5,FALSE),AS$5*$P13/$T$4*$AS$1)</f>
        <v>0</v>
      </c>
      <c r="AT13" s="2">
        <f>+IF($D13&lt;&gt;"",AT$6*$Q13/$T$4*VLOOKUP($M13,CÁRNICOS!$CD$13:$CJ$48,5,FALSE),AT$5*$Q13/$T$4*$AS$1)</f>
        <v>1.296</v>
      </c>
      <c r="AU13" s="2">
        <f>+IF($D13&lt;&gt;"",AU$6*$R13/$T$4*VLOOKUP($M13,CÁRNICOS!$CD$13:$CJ$48,5,FALSE),AU$5*$R13/$T$4*$AS$1)</f>
        <v>0</v>
      </c>
      <c r="AV13" s="2">
        <f>+IF($D13&lt;&gt;"",AV$6*$S13/$T$4*VLOOKUP($M13,CÁRNICOS!$CD$13:$CJ$48,5,FALSE),AV$5*$S13/$T$4*$AS$1)</f>
        <v>0</v>
      </c>
      <c r="AW13" s="2">
        <f>+IF($D13&lt;&gt;"",AW$6*$T13/$T$4*VLOOKUP($M13,CÁRNICOS!$CD$13:$CJ$48,5,FALSE),AW$5*$T13/$T$4*$AS$1)</f>
        <v>0</v>
      </c>
      <c r="AX13" s="120">
        <f>IF($H13&lt;&gt;"",0,SUM(AS13:AW13))</f>
        <v>1.296</v>
      </c>
      <c r="AY13" s="149">
        <f>+ROUNDUP(AX13/AY$4,0)</f>
        <v>1</v>
      </c>
      <c r="AZ13" s="120">
        <f>+IF(AX13*AY13=0,0,(ROUNDUP(AX13/AY13,3)))</f>
        <v>1.296</v>
      </c>
      <c r="BA13" s="2">
        <f>+IF($D13&lt;&gt;"",BA$6*$P13/$T$4*VLOOKUP($M13,CÁRNICOS!$CD$13:$CJ$48,6,FALSE),BA$5*$P13/$T$4*$BA$1)</f>
        <v>0</v>
      </c>
      <c r="BB13" s="2">
        <f>+IF($D13&lt;&gt;"",BB$6*$Q13/$T$4*VLOOKUP($M13,CÁRNICOS!$CD$13:$CJ$48,6,FALSE),BB$5*$Q13/$T$4*$BA$1)</f>
        <v>0</v>
      </c>
      <c r="BC13" s="2">
        <f>+IF($D13&lt;&gt;"",BC$6*$R13/$T$4*VLOOKUP($M13,CÁRNICOS!$CD$13:$CJ$48,6,FALSE),BC$5*$R13/$T$4*$BA$1)</f>
        <v>0</v>
      </c>
      <c r="BD13" s="2">
        <f>+IF($D13&lt;&gt;"",BD$6*$S13/$T$4*VLOOKUP($M13,CÁRNICOS!$CD$13:$CJ$48,6,FALSE),BD$5*$S13/$T$4*$BA$1)</f>
        <v>0</v>
      </c>
      <c r="BE13" s="2">
        <f>+IF($D13&lt;&gt;"",BE$6*$T13/$T$4*VLOOKUP($M13,CÁRNICOS!$CD$13:$CJ$48,6,FALSE),BE$5*$T13/$T$4*$BA$1)</f>
        <v>0</v>
      </c>
      <c r="BF13" s="120">
        <f t="shared" si="2"/>
        <v>0</v>
      </c>
      <c r="BG13" s="149">
        <f t="shared" si="3"/>
        <v>0</v>
      </c>
      <c r="BH13" s="120">
        <f t="shared" si="4"/>
        <v>0</v>
      </c>
      <c r="BI13" s="2">
        <f>+IF($D13&lt;&gt;"",BI$6*$P13/$T$4*VLOOKUP($M13,CÁRNICOS!$CD$13:$CJ$48,7,FALSE),BI$5*$P13/$T$4*$BI$1)</f>
        <v>0</v>
      </c>
      <c r="BJ13" s="2">
        <f>+IF($D13&lt;&gt;"",BJ$6*$Q13/$T$4*VLOOKUP($M13,CÁRNICOS!$CD$13:$CJ$48,7,FALSE),BJ$5*$Q13/$T$4*$BI$1)</f>
        <v>0</v>
      </c>
      <c r="BK13" s="2">
        <f>+IF($D13&lt;&gt;"",BK$6*$R13/$T$4*VLOOKUP($M13,CÁRNICOS!$CD$13:$CJ$48,7,FALSE),BK$5*$R13/$T$4*$BI$1)</f>
        <v>0</v>
      </c>
      <c r="BL13" s="2">
        <f>+IF($D13&lt;&gt;"",BL$6*$S13/$T$4*VLOOKUP($M13,CÁRNICOS!$CD$13:$CJ$48,7,FALSE),BL$5*$S13/$T$4*$BI$1)</f>
        <v>0</v>
      </c>
      <c r="BM13" s="2">
        <f>+IF($D13&lt;&gt;"",BM$6*$T13/$T$4*VLOOKUP($M13,CÁRNICOS!$CD$13:$CJ$48,7,FALSE),BM$5*$T13/$T$4*$BI$1)</f>
        <v>0</v>
      </c>
      <c r="BN13" s="120">
        <f t="shared" si="5"/>
        <v>0</v>
      </c>
      <c r="BO13" s="149">
        <f t="shared" si="16"/>
        <v>0</v>
      </c>
      <c r="BP13" s="120">
        <f t="shared" si="17"/>
        <v>0</v>
      </c>
      <c r="BQ13" s="6" t="s">
        <v>85</v>
      </c>
      <c r="BR13" s="74">
        <f t="shared" si="6"/>
        <v>3</v>
      </c>
      <c r="BS13" s="74" t="str">
        <f t="shared" si="7"/>
        <v>ANSERMA</v>
      </c>
      <c r="BT13" s="74" t="str">
        <f t="shared" si="8"/>
        <v>INSTITUCION EDUCATIVA EL HORRO</v>
      </c>
      <c r="BU13" s="74" t="str">
        <f t="shared" si="9"/>
        <v>SEDE EL PARAISO</v>
      </c>
      <c r="BV13" s="74">
        <f t="shared" si="10"/>
        <v>0</v>
      </c>
      <c r="BW13" s="74">
        <f t="shared" si="11"/>
        <v>0</v>
      </c>
      <c r="BX13" s="74">
        <f t="shared" si="12"/>
        <v>0</v>
      </c>
      <c r="BY13" s="74">
        <f t="shared" si="13"/>
        <v>1.296</v>
      </c>
      <c r="BZ13" s="74">
        <f t="shared" si="14"/>
        <v>0</v>
      </c>
      <c r="CA13" s="74">
        <f t="shared" si="15"/>
        <v>0</v>
      </c>
      <c r="CD13" s="135" t="str">
        <f>+CONSOLIDADO!C12</f>
        <v>LA DORADA</v>
      </c>
      <c r="CE13" s="136">
        <f t="shared" ref="CE13:CJ29" si="18">+CE$11</f>
        <v>0</v>
      </c>
      <c r="CF13" s="136">
        <f t="shared" si="18"/>
        <v>0</v>
      </c>
      <c r="CG13" s="136">
        <f t="shared" si="18"/>
        <v>0</v>
      </c>
      <c r="CH13" s="136">
        <f t="shared" si="18"/>
        <v>1</v>
      </c>
      <c r="CI13" s="136">
        <f t="shared" si="18"/>
        <v>0</v>
      </c>
      <c r="CJ13" s="136">
        <f t="shared" si="18"/>
        <v>0</v>
      </c>
    </row>
    <row r="14" spans="2:88" ht="29.95" customHeight="1" x14ac:dyDescent="0.3">
      <c r="B14" s="46">
        <f>+COUNTIF($M$8:M14,M14)</f>
        <v>1</v>
      </c>
      <c r="C14" s="14">
        <f>SUM(P14:T14)</f>
        <v>119</v>
      </c>
      <c r="D14" s="22" t="s">
        <v>73</v>
      </c>
      <c r="E14" s="124"/>
      <c r="F14" s="60"/>
      <c r="G14" s="60"/>
      <c r="H14" s="60"/>
      <c r="I14" s="60"/>
      <c r="J14" s="60"/>
      <c r="K14" s="59"/>
      <c r="L14" s="122">
        <v>1</v>
      </c>
      <c r="M14" s="164" t="s">
        <v>45</v>
      </c>
      <c r="N14" s="164" t="s">
        <v>188</v>
      </c>
      <c r="O14" s="165" t="s">
        <v>189</v>
      </c>
      <c r="P14" s="166">
        <v>10</v>
      </c>
      <c r="Q14" s="166">
        <v>70</v>
      </c>
      <c r="R14" s="167">
        <v>39</v>
      </c>
      <c r="S14" s="74">
        <v>0</v>
      </c>
      <c r="T14" s="74">
        <v>0</v>
      </c>
      <c r="U14" s="2">
        <f>+IF($D14&lt;&gt;"",U$6*$P14/$T$4*VLOOKUP($M14,CÁRNICOS!$CD$13:$CJ$48,2,FALSE),U$5*$P14/$T$4*$U$1)</f>
        <v>0</v>
      </c>
      <c r="V14" s="2">
        <f>+IF($D14&lt;&gt;"",V$6*$Q14/$T$4*VLOOKUP($M14,CÁRNICOS!$CD$13:$CJ$48,2,FALSE),V$5*$Q14/$T$4*$U$1)</f>
        <v>0</v>
      </c>
      <c r="W14" s="2">
        <f>+IF($D14&lt;&gt;"",W$6*$R14/$T$4*VLOOKUP($M14,CÁRNICOS!$CD$13:$CJ$48,2,FALSE),W$5*$R14/$T$4*$U$1)</f>
        <v>0</v>
      </c>
      <c r="X14" s="2">
        <f>+IF($D14&lt;&gt;"",X$6*$S14/$T$4*VLOOKUP($M14,CÁRNICOS!$CD$13:$CJ$48,2,FALSE),X$5*$S14/$T$4*$U$1)</f>
        <v>0</v>
      </c>
      <c r="Y14" s="2">
        <f>+IF($D14&lt;&gt;"",Y$6*$T14/$T$4*VLOOKUP($M14,CÁRNICOS!$CD$13:$CJ$48,2,FALSE),Y$5*$T14/$T$4*$U$1)</f>
        <v>0</v>
      </c>
      <c r="Z14" s="146">
        <f>IF($E14&lt;&gt;"",0,SUM(U14:Y14))</f>
        <v>0</v>
      </c>
      <c r="AA14" s="149">
        <f>+ROUNDUP(Z14/AA$4,0)</f>
        <v>0</v>
      </c>
      <c r="AB14" s="120">
        <f>+IF(Z14*AA14=0,0,(ROUNDUP(Z14/AA14,3)))</f>
        <v>0</v>
      </c>
      <c r="AC14" s="147">
        <f>+IF($D14&lt;&gt;"",AC$6*$P14/$T$4*VLOOKUP($M14,CÁRNICOS!$CD$13:$CJ$48,3,FALSE),AC$5*$P14/$T$4*$AC$1)</f>
        <v>0</v>
      </c>
      <c r="AD14" s="147">
        <f>+IF($D14&lt;&gt;"",AD$6*$Q14/$T$4*VLOOKUP($M14,CÁRNICOS!$CD$13:$CJ$48,3,FALSE),AD$5*$Q14/$T$4*$AC$1)</f>
        <v>0</v>
      </c>
      <c r="AE14" s="2">
        <f>+IF($D14&lt;&gt;"",AE$6*$R14/$T$4*VLOOKUP($M14,CÁRNICOS!$CD$13:$CJ$48,3,FALSE),AE$5*$R14/$T$4*$AC$1)</f>
        <v>0</v>
      </c>
      <c r="AF14" s="2">
        <f>+IF($D14&lt;&gt;"",AF$6*$S14/$T$4*VLOOKUP($M14,CÁRNICOS!$CD$13:$CJ$48,3,FALSE),AF$5*$S14/$T$4*$AC$1)</f>
        <v>0</v>
      </c>
      <c r="AG14" s="2">
        <f>+IF($D14&lt;&gt;"",AG$6*$T14/$T$4*VLOOKUP($M14,CÁRNICOS!$CD$13:$CJ$48,3,FALSE),AG$5*$T14/$T$4*$AC$1)</f>
        <v>0</v>
      </c>
      <c r="AH14" s="120">
        <f>IF($F14&lt;&gt;"",0,SUM(AC14:AG14))</f>
        <v>0</v>
      </c>
      <c r="AI14" s="149">
        <f>+ROUNDUP(AH14/AI$4,0)</f>
        <v>0</v>
      </c>
      <c r="AJ14" s="120">
        <f>+IF(AH14*AI14=0,0,(ROUNDUP(AH14/AI14,3)))</f>
        <v>0</v>
      </c>
      <c r="AK14" s="2">
        <f>+IF($D14&lt;&gt;"",AK$6*$P14/$T$4*VLOOKUP($M14,CÁRNICOS!$CD$13:$CJ$48,4,FALSE),AK$5*$P14/$T$4*$AK$1)</f>
        <v>0</v>
      </c>
      <c r="AL14" s="2">
        <f>+IF($D14&lt;&gt;"",AL$6*$Q14/$T$4*VLOOKUP($M14,CÁRNICOS!$CD$13:$CJ$48,4,FALSE),AL$5*$Q14/$T$4*$AK$1)</f>
        <v>0</v>
      </c>
      <c r="AM14" s="2">
        <f>+IF($D14&lt;&gt;"",AM$6*$R14/$T$4*VLOOKUP($M14,CÁRNICOS!$CD$13:$CJ$48,4,FALSE),AM$5*$R14/$T$4*$AK$1)</f>
        <v>0</v>
      </c>
      <c r="AN14" s="2">
        <f>+IF($D14&lt;&gt;"",AN$6*$S14/$T$4*VLOOKUP($M14,CÁRNICOS!$CD$13:$CJ$48,4,FALSE),AN$5*$S14/$T$4*$AK$1)</f>
        <v>0</v>
      </c>
      <c r="AO14" s="2">
        <f>+IF($D14&lt;&gt;"",AO$6*$T14/$T$4*VLOOKUP($M14,CÁRNICOS!$CD$13:$CJ$48,4,FALSE),AO$5*$T14/$T$4*$AK$1)</f>
        <v>0</v>
      </c>
      <c r="AP14" s="120">
        <f>IF($G14&lt;&gt;"",0,SUM(AK14:AO14))</f>
        <v>0</v>
      </c>
      <c r="AQ14" s="149">
        <f>+ROUNDUP(AP14/AQ$4,0)</f>
        <v>0</v>
      </c>
      <c r="AR14" s="120">
        <f>+IF(AP14*AQ14=0,0,(ROUNDUP(AP14/AQ14,3)))</f>
        <v>0</v>
      </c>
      <c r="AS14" s="2">
        <f>+IF($D14&lt;&gt;"",AS$6*$P14/$T$4*VLOOKUP($M14,CÁRNICOS!$CD$13:$CJ$48,5,FALSE),AS$5*$P14/$T$4*$AS$1)</f>
        <v>0.54</v>
      </c>
      <c r="AT14" s="2">
        <f>+IF($D14&lt;&gt;"",AT$6*$Q14/$T$4*VLOOKUP($M14,CÁRNICOS!$CD$13:$CJ$48,5,FALSE),AT$5*$Q14/$T$4*$AS$1)</f>
        <v>3.78</v>
      </c>
      <c r="AU14" s="2">
        <f>+IF($D14&lt;&gt;"",AU$6*$R14/$T$4*VLOOKUP($M14,CÁRNICOS!$CD$13:$CJ$48,5,FALSE),AU$5*$R14/$T$4*$AS$1)</f>
        <v>2.5350000000000001</v>
      </c>
      <c r="AV14" s="2">
        <f>+IF($D14&lt;&gt;"",AV$6*$S14/$T$4*VLOOKUP($M14,CÁRNICOS!$CD$13:$CJ$48,5,FALSE),AV$5*$S14/$T$4*$AS$1)</f>
        <v>0</v>
      </c>
      <c r="AW14" s="2">
        <f>+IF($D14&lt;&gt;"",AW$6*$T14/$T$4*VLOOKUP($M14,CÁRNICOS!$CD$13:$CJ$48,5,FALSE),AW$5*$T14/$T$4*$AS$1)</f>
        <v>0</v>
      </c>
      <c r="AX14" s="120">
        <f>IF($H14&lt;&gt;"",0,SUM(AS14:AW14))</f>
        <v>6.8550000000000004</v>
      </c>
      <c r="AY14" s="149">
        <f>+ROUNDUP(AX14/AY$4,0)</f>
        <v>1</v>
      </c>
      <c r="AZ14" s="120">
        <f>+IF(AX14*AY14=0,0,(ROUNDUP(AX14/AY14,3)))</f>
        <v>6.8550000000000004</v>
      </c>
      <c r="BA14" s="2">
        <f>+IF($D14&lt;&gt;"",BA$6*$P14/$T$4*VLOOKUP($M14,CÁRNICOS!$CD$13:$CJ$48,6,FALSE),BA$5*$P14/$T$4*$BA$1)</f>
        <v>0</v>
      </c>
      <c r="BB14" s="2">
        <f>+IF($D14&lt;&gt;"",BB$6*$Q14/$T$4*VLOOKUP($M14,CÁRNICOS!$CD$13:$CJ$48,6,FALSE),BB$5*$Q14/$T$4*$BA$1)</f>
        <v>0</v>
      </c>
      <c r="BC14" s="2">
        <f>+IF($D14&lt;&gt;"",BC$6*$R14/$T$4*VLOOKUP($M14,CÁRNICOS!$CD$13:$CJ$48,6,FALSE),BC$5*$R14/$T$4*$BA$1)</f>
        <v>0</v>
      </c>
      <c r="BD14" s="2">
        <f>+IF($D14&lt;&gt;"",BD$6*$S14/$T$4*VLOOKUP($M14,CÁRNICOS!$CD$13:$CJ$48,6,FALSE),BD$5*$S14/$T$4*$BA$1)</f>
        <v>0</v>
      </c>
      <c r="BE14" s="2">
        <f>+IF($D14&lt;&gt;"",BE$6*$T14/$T$4*VLOOKUP($M14,CÁRNICOS!$CD$13:$CJ$48,6,FALSE),BE$5*$T14/$T$4*$BA$1)</f>
        <v>0</v>
      </c>
      <c r="BF14" s="120">
        <f t="shared" si="2"/>
        <v>0</v>
      </c>
      <c r="BG14" s="149">
        <f t="shared" si="3"/>
        <v>0</v>
      </c>
      <c r="BH14" s="120">
        <f t="shared" si="4"/>
        <v>0</v>
      </c>
      <c r="BI14" s="2">
        <f>+IF($D14&lt;&gt;"",BI$6*$P14/$T$4*VLOOKUP($M14,CÁRNICOS!$CD$13:$CJ$48,7,FALSE),BI$5*$P14/$T$4*$BI$1)</f>
        <v>0</v>
      </c>
      <c r="BJ14" s="2">
        <f>+IF($D14&lt;&gt;"",BJ$6*$Q14/$T$4*VLOOKUP($M14,CÁRNICOS!$CD$13:$CJ$48,7,FALSE),BJ$5*$Q14/$T$4*$BI$1)</f>
        <v>0</v>
      </c>
      <c r="BK14" s="2">
        <f>+IF($D14&lt;&gt;"",BK$6*$R14/$T$4*VLOOKUP($M14,CÁRNICOS!$CD$13:$CJ$48,7,FALSE),BK$5*$R14/$T$4*$BI$1)</f>
        <v>0</v>
      </c>
      <c r="BL14" s="2">
        <f>+IF($D14&lt;&gt;"",BL$6*$S14/$T$4*VLOOKUP($M14,CÁRNICOS!$CD$13:$CJ$48,7,FALSE),BL$5*$S14/$T$4*$BI$1)</f>
        <v>0</v>
      </c>
      <c r="BM14" s="2">
        <f>+IF($D14&lt;&gt;"",BM$6*$T14/$T$4*VLOOKUP($M14,CÁRNICOS!$CD$13:$CJ$48,7,FALSE),BM$5*$T14/$T$4*$BI$1)</f>
        <v>0</v>
      </c>
      <c r="BN14" s="120">
        <f t="shared" si="5"/>
        <v>0</v>
      </c>
      <c r="BO14" s="149">
        <f t="shared" si="16"/>
        <v>0</v>
      </c>
      <c r="BP14" s="120">
        <f t="shared" si="17"/>
        <v>0</v>
      </c>
      <c r="BQ14" s="6" t="s">
        <v>85</v>
      </c>
      <c r="BR14" s="74">
        <f t="shared" si="6"/>
        <v>1</v>
      </c>
      <c r="BS14" s="74" t="str">
        <f t="shared" si="7"/>
        <v>ARANZAZU</v>
      </c>
      <c r="BT14" s="74" t="str">
        <f t="shared" si="8"/>
        <v>INSTITUCION EDUCATIVA PIO XI</v>
      </c>
      <c r="BU14" s="74" t="str">
        <f t="shared" si="9"/>
        <v>ESCUELA MANUEL GUTIERREZ ROBLEDO</v>
      </c>
      <c r="BV14" s="74">
        <f t="shared" si="10"/>
        <v>0</v>
      </c>
      <c r="BW14" s="74">
        <f t="shared" si="11"/>
        <v>0</v>
      </c>
      <c r="BX14" s="74">
        <f t="shared" si="12"/>
        <v>0</v>
      </c>
      <c r="BY14" s="74">
        <f t="shared" si="13"/>
        <v>6.8550000000000004</v>
      </c>
      <c r="BZ14" s="74">
        <f t="shared" si="14"/>
        <v>0</v>
      </c>
      <c r="CA14" s="74">
        <f t="shared" si="15"/>
        <v>0</v>
      </c>
      <c r="CD14" s="135" t="str">
        <f>+CONSOLIDADO!C13</f>
        <v>NORCASIA</v>
      </c>
      <c r="CE14" s="136">
        <f t="shared" si="18"/>
        <v>0</v>
      </c>
      <c r="CF14" s="136">
        <f t="shared" si="18"/>
        <v>0</v>
      </c>
      <c r="CG14" s="136">
        <f t="shared" si="18"/>
        <v>0</v>
      </c>
      <c r="CH14" s="136">
        <f t="shared" si="18"/>
        <v>1</v>
      </c>
      <c r="CI14" s="136">
        <f t="shared" si="18"/>
        <v>0</v>
      </c>
      <c r="CJ14" s="136">
        <f t="shared" si="18"/>
        <v>0</v>
      </c>
    </row>
    <row r="15" spans="2:88" ht="29.95" customHeight="1" x14ac:dyDescent="0.3">
      <c r="B15" s="46">
        <f>+COUNTIF($M$8:M15,M15)</f>
        <v>1</v>
      </c>
      <c r="C15" s="14">
        <f>SUM(P15:T15)</f>
        <v>7</v>
      </c>
      <c r="D15" s="22" t="s">
        <v>73</v>
      </c>
      <c r="E15" s="124"/>
      <c r="F15" s="60"/>
      <c r="G15" s="60"/>
      <c r="H15" s="60"/>
      <c r="I15" s="60"/>
      <c r="J15" s="60"/>
      <c r="K15" s="59"/>
      <c r="L15" s="122">
        <v>1</v>
      </c>
      <c r="M15" s="162" t="s">
        <v>33</v>
      </c>
      <c r="N15" s="162" t="s">
        <v>240</v>
      </c>
      <c r="O15" s="163" t="s">
        <v>284</v>
      </c>
      <c r="P15" s="74">
        <v>1</v>
      </c>
      <c r="Q15" s="74">
        <v>4</v>
      </c>
      <c r="R15" s="139">
        <v>2</v>
      </c>
      <c r="S15" s="74">
        <v>0</v>
      </c>
      <c r="T15" s="74">
        <v>0</v>
      </c>
      <c r="U15" s="2">
        <f>+IF($D15&lt;&gt;"",U$6*$P15/$T$4*VLOOKUP($M15,CÁRNICOS!$CD$13:$CJ$48,2,FALSE),U$5*$P15/$T$4*$U$1)</f>
        <v>0</v>
      </c>
      <c r="V15" s="2">
        <f>+IF($D15&lt;&gt;"",V$6*$Q15/$T$4*VLOOKUP($M15,CÁRNICOS!$CD$13:$CJ$48,2,FALSE),V$5*$Q15/$T$4*$U$1)</f>
        <v>0</v>
      </c>
      <c r="W15" s="2">
        <f>+IF($D15&lt;&gt;"",W$6*$R15/$T$4*VLOOKUP($M15,CÁRNICOS!$CD$13:$CJ$48,2,FALSE),W$5*$R15/$T$4*$U$1)</f>
        <v>0</v>
      </c>
      <c r="X15" s="2">
        <f>+IF($D15&lt;&gt;"",X$6*$S15/$T$4*VLOOKUP($M15,CÁRNICOS!$CD$13:$CJ$48,2,FALSE),X$5*$S15/$T$4*$U$1)</f>
        <v>0</v>
      </c>
      <c r="Y15" s="2">
        <f>+IF($D15&lt;&gt;"",Y$6*$T15/$T$4*VLOOKUP($M15,CÁRNICOS!$CD$13:$CJ$48,2,FALSE),Y$5*$T15/$T$4*$U$1)</f>
        <v>0</v>
      </c>
      <c r="Z15" s="146">
        <f>IF($E15&lt;&gt;"",0,SUM(U15:Y15))</f>
        <v>0</v>
      </c>
      <c r="AA15" s="149">
        <f>+ROUNDUP(Z15/AA$4,0)</f>
        <v>0</v>
      </c>
      <c r="AB15" s="120">
        <f>+IF(Z15*AA15=0,0,(ROUNDUP(Z15/AA15,3)))</f>
        <v>0</v>
      </c>
      <c r="AC15" s="147">
        <f>+IF($D15&lt;&gt;"",AC$6*$P15/$T$4*VLOOKUP($M15,CÁRNICOS!$CD$13:$CJ$48,3,FALSE),AC$5*$P15/$T$4*$AC$1)</f>
        <v>0</v>
      </c>
      <c r="AD15" s="147">
        <f>+IF($D15&lt;&gt;"",AD$6*$Q15/$T$4*VLOOKUP($M15,CÁRNICOS!$CD$13:$CJ$48,3,FALSE),AD$5*$Q15/$T$4*$AC$1)</f>
        <v>0</v>
      </c>
      <c r="AE15" s="2">
        <f>+IF($D15&lt;&gt;"",AE$6*$R15/$T$4*VLOOKUP($M15,CÁRNICOS!$CD$13:$CJ$48,3,FALSE),AE$5*$R15/$T$4*$AC$1)</f>
        <v>0</v>
      </c>
      <c r="AF15" s="2">
        <f>+IF($D15&lt;&gt;"",AF$6*$S15/$T$4*VLOOKUP($M15,CÁRNICOS!$CD$13:$CJ$48,3,FALSE),AF$5*$S15/$T$4*$AC$1)</f>
        <v>0</v>
      </c>
      <c r="AG15" s="2">
        <f>+IF($D15&lt;&gt;"",AG$6*$T15/$T$4*VLOOKUP($M15,CÁRNICOS!$CD$13:$CJ$48,3,FALSE),AG$5*$T15/$T$4*$AC$1)</f>
        <v>0</v>
      </c>
      <c r="AH15" s="120">
        <f>IF($F15&lt;&gt;"",0,SUM(AC15:AG15))</f>
        <v>0</v>
      </c>
      <c r="AI15" s="149">
        <f>+ROUNDUP(AH15/AI$4,0)</f>
        <v>0</v>
      </c>
      <c r="AJ15" s="120">
        <f>+IF(AH15*AI15=0,0,(ROUNDUP(AH15/AI15,3)))</f>
        <v>0</v>
      </c>
      <c r="AK15" s="2">
        <f>+IF($D15&lt;&gt;"",AK$6*$P15/$T$4*VLOOKUP($M15,CÁRNICOS!$CD$13:$CJ$48,4,FALSE),AK$5*$P15/$T$4*$AK$1)</f>
        <v>0</v>
      </c>
      <c r="AL15" s="2">
        <f>+IF($D15&lt;&gt;"",AL$6*$Q15/$T$4*VLOOKUP($M15,CÁRNICOS!$CD$13:$CJ$48,4,FALSE),AL$5*$Q15/$T$4*$AK$1)</f>
        <v>0</v>
      </c>
      <c r="AM15" s="2">
        <f>+IF($D15&lt;&gt;"",AM$6*$R15/$T$4*VLOOKUP($M15,CÁRNICOS!$CD$13:$CJ$48,4,FALSE),AM$5*$R15/$T$4*$AK$1)</f>
        <v>0</v>
      </c>
      <c r="AN15" s="2">
        <f>+IF($D15&lt;&gt;"",AN$6*$S15/$T$4*VLOOKUP($M15,CÁRNICOS!$CD$13:$CJ$48,4,FALSE),AN$5*$S15/$T$4*$AK$1)</f>
        <v>0</v>
      </c>
      <c r="AO15" s="2">
        <f>+IF($D15&lt;&gt;"",AO$6*$T15/$T$4*VLOOKUP($M15,CÁRNICOS!$CD$13:$CJ$48,4,FALSE),AO$5*$T15/$T$4*$AK$1)</f>
        <v>0</v>
      </c>
      <c r="AP15" s="120">
        <f>IF($G15&lt;&gt;"",0,SUM(AK15:AO15))</f>
        <v>0</v>
      </c>
      <c r="AQ15" s="149">
        <f>+ROUNDUP(AP15/AQ$4,0)</f>
        <v>0</v>
      </c>
      <c r="AR15" s="120">
        <f>+IF(AP15*AQ15=0,0,(ROUNDUP(AP15/AQ15,3)))</f>
        <v>0</v>
      </c>
      <c r="AS15" s="2">
        <f>+IF($D15&lt;&gt;"",AS$6*$P15/$T$4*VLOOKUP($M15,CÁRNICOS!$CD$13:$CJ$48,5,FALSE),AS$5*$P15/$T$4*$AS$1)</f>
        <v>5.3999999999999999E-2</v>
      </c>
      <c r="AT15" s="2">
        <f>+IF($D15&lt;&gt;"",AT$6*$Q15/$T$4*VLOOKUP($M15,CÁRNICOS!$CD$13:$CJ$48,5,FALSE),AT$5*$Q15/$T$4*$AS$1)</f>
        <v>0.216</v>
      </c>
      <c r="AU15" s="2">
        <f>+IF($D15&lt;&gt;"",AU$6*$R15/$T$4*VLOOKUP($M15,CÁRNICOS!$CD$13:$CJ$48,5,FALSE),AU$5*$R15/$T$4*$AS$1)</f>
        <v>0.13</v>
      </c>
      <c r="AV15" s="2">
        <f>+IF($D15&lt;&gt;"",AV$6*$S15/$T$4*VLOOKUP($M15,CÁRNICOS!$CD$13:$CJ$48,5,FALSE),AV$5*$S15/$T$4*$AS$1)</f>
        <v>0</v>
      </c>
      <c r="AW15" s="2">
        <f>+IF($D15&lt;&gt;"",AW$6*$T15/$T$4*VLOOKUP($M15,CÁRNICOS!$CD$13:$CJ$48,5,FALSE),AW$5*$T15/$T$4*$AS$1)</f>
        <v>0</v>
      </c>
      <c r="AX15" s="120">
        <f>IF($H15&lt;&gt;"",0,SUM(AS15:AW15))</f>
        <v>0.4</v>
      </c>
      <c r="AY15" s="149">
        <f>+ROUNDUP(AX15/AY$4,0)</f>
        <v>1</v>
      </c>
      <c r="AZ15" s="120">
        <f>+IF(AX15*AY15=0,0,(ROUNDUP(AX15/AY15,3)))</f>
        <v>0.4</v>
      </c>
      <c r="BA15" s="2">
        <f>+IF($D15&lt;&gt;"",BA$6*$P15/$T$4*VLOOKUP($M15,CÁRNICOS!$CD$13:$CJ$48,6,FALSE),BA$5*$P15/$T$4*$BA$1)</f>
        <v>0</v>
      </c>
      <c r="BB15" s="2">
        <f>+IF($D15&lt;&gt;"",BB$6*$Q15/$T$4*VLOOKUP($M15,CÁRNICOS!$CD$13:$CJ$48,6,FALSE),BB$5*$Q15/$T$4*$BA$1)</f>
        <v>0</v>
      </c>
      <c r="BC15" s="2">
        <f>+IF($D15&lt;&gt;"",BC$6*$R15/$T$4*VLOOKUP($M15,CÁRNICOS!$CD$13:$CJ$48,6,FALSE),BC$5*$R15/$T$4*$BA$1)</f>
        <v>0</v>
      </c>
      <c r="BD15" s="2">
        <f>+IF($D15&lt;&gt;"",BD$6*$S15/$T$4*VLOOKUP($M15,CÁRNICOS!$CD$13:$CJ$48,6,FALSE),BD$5*$S15/$T$4*$BA$1)</f>
        <v>0</v>
      </c>
      <c r="BE15" s="2">
        <f>+IF($D15&lt;&gt;"",BE$6*$T15/$T$4*VLOOKUP($M15,CÁRNICOS!$CD$13:$CJ$48,6,FALSE),BE$5*$T15/$T$4*$BA$1)</f>
        <v>0</v>
      </c>
      <c r="BF15" s="120">
        <f t="shared" si="2"/>
        <v>0</v>
      </c>
      <c r="BG15" s="149">
        <f t="shared" si="3"/>
        <v>0</v>
      </c>
      <c r="BH15" s="120">
        <f t="shared" si="4"/>
        <v>0</v>
      </c>
      <c r="BI15" s="2">
        <f>+IF($D15&lt;&gt;"",BI$6*$P15/$T$4*VLOOKUP($M15,CÁRNICOS!$CD$13:$CJ$48,7,FALSE),BI$5*$P15/$T$4*$BI$1)</f>
        <v>0</v>
      </c>
      <c r="BJ15" s="2">
        <f>+IF($D15&lt;&gt;"",BJ$6*$Q15/$T$4*VLOOKUP($M15,CÁRNICOS!$CD$13:$CJ$48,7,FALSE),BJ$5*$Q15/$T$4*$BI$1)</f>
        <v>0</v>
      </c>
      <c r="BK15" s="2">
        <f>+IF($D15&lt;&gt;"",BK$6*$R15/$T$4*VLOOKUP($M15,CÁRNICOS!$CD$13:$CJ$48,7,FALSE),BK$5*$R15/$T$4*$BI$1)</f>
        <v>0</v>
      </c>
      <c r="BL15" s="2">
        <f>+IF($D15&lt;&gt;"",BL$6*$S15/$T$4*VLOOKUP($M15,CÁRNICOS!$CD$13:$CJ$48,7,FALSE),BL$5*$S15/$T$4*$BI$1)</f>
        <v>0</v>
      </c>
      <c r="BM15" s="2">
        <f>+IF($D15&lt;&gt;"",BM$6*$T15/$T$4*VLOOKUP($M15,CÁRNICOS!$CD$13:$CJ$48,7,FALSE),BM$5*$T15/$T$4*$BI$1)</f>
        <v>0</v>
      </c>
      <c r="BN15" s="120">
        <f t="shared" si="5"/>
        <v>0</v>
      </c>
      <c r="BO15" s="149">
        <f t="shared" si="16"/>
        <v>0</v>
      </c>
      <c r="BP15" s="120">
        <f t="shared" si="17"/>
        <v>0</v>
      </c>
      <c r="BQ15" s="6" t="s">
        <v>85</v>
      </c>
      <c r="BR15" s="74">
        <f t="shared" si="6"/>
        <v>1</v>
      </c>
      <c r="BS15" s="74" t="str">
        <f t="shared" si="7"/>
        <v>BELALCÁZAR</v>
      </c>
      <c r="BT15" s="74" t="str">
        <f t="shared" si="8"/>
        <v>INSTITUCION EDUCATIVA EL MADROÑO</v>
      </c>
      <c r="BU15" s="74" t="str">
        <f t="shared" si="9"/>
        <v>CONVENTOS</v>
      </c>
      <c r="BV15" s="74">
        <f t="shared" si="10"/>
        <v>0</v>
      </c>
      <c r="BW15" s="74">
        <f t="shared" si="11"/>
        <v>0</v>
      </c>
      <c r="BX15" s="74">
        <f t="shared" si="12"/>
        <v>0</v>
      </c>
      <c r="BY15" s="74">
        <f t="shared" si="13"/>
        <v>0.4</v>
      </c>
      <c r="BZ15" s="74">
        <f t="shared" si="14"/>
        <v>0</v>
      </c>
      <c r="CA15" s="74">
        <f t="shared" si="15"/>
        <v>0</v>
      </c>
      <c r="CD15" s="135" t="str">
        <f>+CONSOLIDADO!C14</f>
        <v>SAMANÁ</v>
      </c>
      <c r="CE15" s="136">
        <f t="shared" si="18"/>
        <v>0</v>
      </c>
      <c r="CF15" s="136">
        <f t="shared" si="18"/>
        <v>0</v>
      </c>
      <c r="CG15" s="136">
        <f t="shared" si="18"/>
        <v>0</v>
      </c>
      <c r="CH15" s="136">
        <f t="shared" si="18"/>
        <v>1</v>
      </c>
      <c r="CI15" s="136">
        <f t="shared" si="18"/>
        <v>0</v>
      </c>
      <c r="CJ15" s="136">
        <f t="shared" si="18"/>
        <v>0</v>
      </c>
    </row>
    <row r="16" spans="2:88" ht="29.95" customHeight="1" x14ac:dyDescent="0.3">
      <c r="B16" s="46">
        <f>+COUNTIF($M$8:M16,M16)</f>
        <v>2</v>
      </c>
      <c r="C16" s="14">
        <f>SUM(P16:T16)</f>
        <v>21</v>
      </c>
      <c r="D16" s="22" t="s">
        <v>73</v>
      </c>
      <c r="E16" s="124"/>
      <c r="F16" s="60"/>
      <c r="G16" s="60"/>
      <c r="H16" s="60"/>
      <c r="I16" s="60"/>
      <c r="J16" s="60"/>
      <c r="K16" s="59"/>
      <c r="L16" s="122">
        <v>1</v>
      </c>
      <c r="M16" s="162" t="s">
        <v>33</v>
      </c>
      <c r="N16" s="162" t="s">
        <v>240</v>
      </c>
      <c r="O16" s="163" t="s">
        <v>241</v>
      </c>
      <c r="P16" s="74">
        <v>0</v>
      </c>
      <c r="Q16" s="74">
        <v>0</v>
      </c>
      <c r="R16" s="139">
        <v>0</v>
      </c>
      <c r="S16" s="74">
        <v>21</v>
      </c>
      <c r="T16" s="74">
        <v>0</v>
      </c>
      <c r="U16" s="2">
        <f>+IF($D16&lt;&gt;"",U$6*$P16/$T$4*VLOOKUP($M16,CÁRNICOS!$CD$13:$CJ$48,2,FALSE),U$5*$P16/$T$4*$U$1)</f>
        <v>0</v>
      </c>
      <c r="V16" s="2">
        <f>+IF($D16&lt;&gt;"",V$6*$Q16/$T$4*VLOOKUP($M16,CÁRNICOS!$CD$13:$CJ$48,2,FALSE),V$5*$Q16/$T$4*$U$1)</f>
        <v>0</v>
      </c>
      <c r="W16" s="2">
        <f>+IF($D16&lt;&gt;"",W$6*$R16/$T$4*VLOOKUP($M16,CÁRNICOS!$CD$13:$CJ$48,2,FALSE),W$5*$R16/$T$4*$U$1)</f>
        <v>0</v>
      </c>
      <c r="X16" s="2">
        <f>+IF($D16&lt;&gt;"",X$6*$S16/$T$4*VLOOKUP($M16,CÁRNICOS!$CD$13:$CJ$48,2,FALSE),X$5*$S16/$T$4*$U$1)</f>
        <v>0</v>
      </c>
      <c r="Y16" s="2">
        <f>+IF($D16&lt;&gt;"",Y$6*$T16/$T$4*VLOOKUP($M16,CÁRNICOS!$CD$13:$CJ$48,2,FALSE),Y$5*$T16/$T$4*$U$1)</f>
        <v>0</v>
      </c>
      <c r="Z16" s="146">
        <f>IF($E16&lt;&gt;"",0,SUM(U16:Y16))</f>
        <v>0</v>
      </c>
      <c r="AA16" s="149">
        <f>+ROUNDUP(Z16/AA$4,0)</f>
        <v>0</v>
      </c>
      <c r="AB16" s="120">
        <f>+IF(Z16*AA16=0,0,(ROUNDUP(Z16/AA16,3)))</f>
        <v>0</v>
      </c>
      <c r="AC16" s="147">
        <f>+IF($D16&lt;&gt;"",AC$6*$P16/$T$4*VLOOKUP($M16,CÁRNICOS!$CD$13:$CJ$48,3,FALSE),AC$5*$P16/$T$4*$AC$1)</f>
        <v>0</v>
      </c>
      <c r="AD16" s="147">
        <f>+IF($D16&lt;&gt;"",AD$6*$Q16/$T$4*VLOOKUP($M16,CÁRNICOS!$CD$13:$CJ$48,3,FALSE),AD$5*$Q16/$T$4*$AC$1)</f>
        <v>0</v>
      </c>
      <c r="AE16" s="2">
        <f>+IF($D16&lt;&gt;"",AE$6*$R16/$T$4*VLOOKUP($M16,CÁRNICOS!$CD$13:$CJ$48,3,FALSE),AE$5*$R16/$T$4*$AC$1)</f>
        <v>0</v>
      </c>
      <c r="AF16" s="2">
        <f>+IF($D16&lt;&gt;"",AF$6*$S16/$T$4*VLOOKUP($M16,CÁRNICOS!$CD$13:$CJ$48,3,FALSE),AF$5*$S16/$T$4*$AC$1)</f>
        <v>0</v>
      </c>
      <c r="AG16" s="2">
        <f>+IF($D16&lt;&gt;"",AG$6*$T16/$T$4*VLOOKUP($M16,CÁRNICOS!$CD$13:$CJ$48,3,FALSE),AG$5*$T16/$T$4*$AC$1)</f>
        <v>0</v>
      </c>
      <c r="AH16" s="120">
        <f>IF($F16&lt;&gt;"",0,SUM(AC16:AG16))</f>
        <v>0</v>
      </c>
      <c r="AI16" s="149">
        <f>+ROUNDUP(AH16/AI$4,0)</f>
        <v>0</v>
      </c>
      <c r="AJ16" s="120">
        <f>+IF(AH16*AI16=0,0,(ROUNDUP(AH16/AI16,3)))</f>
        <v>0</v>
      </c>
      <c r="AK16" s="2">
        <f>+IF($D16&lt;&gt;"",AK$6*$P16/$T$4*VLOOKUP($M16,CÁRNICOS!$CD$13:$CJ$48,4,FALSE),AK$5*$P16/$T$4*$AK$1)</f>
        <v>0</v>
      </c>
      <c r="AL16" s="2">
        <f>+IF($D16&lt;&gt;"",AL$6*$Q16/$T$4*VLOOKUP($M16,CÁRNICOS!$CD$13:$CJ$48,4,FALSE),AL$5*$Q16/$T$4*$AK$1)</f>
        <v>0</v>
      </c>
      <c r="AM16" s="2">
        <f>+IF($D16&lt;&gt;"",AM$6*$R16/$T$4*VLOOKUP($M16,CÁRNICOS!$CD$13:$CJ$48,4,FALSE),AM$5*$R16/$T$4*$AK$1)</f>
        <v>0</v>
      </c>
      <c r="AN16" s="2">
        <f>+IF($D16&lt;&gt;"",AN$6*$S16/$T$4*VLOOKUP($M16,CÁRNICOS!$CD$13:$CJ$48,4,FALSE),AN$5*$S16/$T$4*$AK$1)</f>
        <v>0</v>
      </c>
      <c r="AO16" s="2">
        <f>+IF($D16&lt;&gt;"",AO$6*$T16/$T$4*VLOOKUP($M16,CÁRNICOS!$CD$13:$CJ$48,4,FALSE),AO$5*$T16/$T$4*$AK$1)</f>
        <v>0</v>
      </c>
      <c r="AP16" s="120">
        <f>IF($G16&lt;&gt;"",0,SUM(AK16:AO16))</f>
        <v>0</v>
      </c>
      <c r="AQ16" s="149">
        <f>+ROUNDUP(AP16/AQ$4,0)</f>
        <v>0</v>
      </c>
      <c r="AR16" s="120">
        <f>+IF(AP16*AQ16=0,0,(ROUNDUP(AP16/AQ16,3)))</f>
        <v>0</v>
      </c>
      <c r="AS16" s="2">
        <f>+IF($D16&lt;&gt;"",AS$6*$P16/$T$4*VLOOKUP($M16,CÁRNICOS!$CD$13:$CJ$48,5,FALSE),AS$5*$P16/$T$4*$AS$1)</f>
        <v>0</v>
      </c>
      <c r="AT16" s="2">
        <f>+IF($D16&lt;&gt;"",AT$6*$Q16/$T$4*VLOOKUP($M16,CÁRNICOS!$CD$13:$CJ$48,5,FALSE),AT$5*$Q16/$T$4*$AS$1)</f>
        <v>0</v>
      </c>
      <c r="AU16" s="2">
        <f>+IF($D16&lt;&gt;"",AU$6*$R16/$T$4*VLOOKUP($M16,CÁRNICOS!$CD$13:$CJ$48,5,FALSE),AU$5*$R16/$T$4*$AS$1)</f>
        <v>0</v>
      </c>
      <c r="AV16" s="2">
        <f>+IF($D16&lt;&gt;"",AV$6*$S16/$T$4*VLOOKUP($M16,CÁRNICOS!$CD$13:$CJ$48,5,FALSE),AV$5*$S16/$T$4*$AS$1)</f>
        <v>1.68</v>
      </c>
      <c r="AW16" s="2">
        <f>+IF($D16&lt;&gt;"",AW$6*$T16/$T$4*VLOOKUP($M16,CÁRNICOS!$CD$13:$CJ$48,5,FALSE),AW$5*$T16/$T$4*$AS$1)</f>
        <v>0</v>
      </c>
      <c r="AX16" s="120">
        <f>IF($H16&lt;&gt;"",0,SUM(AS16:AW16))</f>
        <v>1.68</v>
      </c>
      <c r="AY16" s="149">
        <f>+ROUNDUP(AX16/AY$4,0)</f>
        <v>1</v>
      </c>
      <c r="AZ16" s="120">
        <f>+IF(AX16*AY16=0,0,(ROUNDUP(AX16/AY16,3)))</f>
        <v>1.68</v>
      </c>
      <c r="BA16" s="2">
        <f>+IF($D16&lt;&gt;"",BA$6*$P16/$T$4*VLOOKUP($M16,CÁRNICOS!$CD$13:$CJ$48,6,FALSE),BA$5*$P16/$T$4*$BA$1)</f>
        <v>0</v>
      </c>
      <c r="BB16" s="2">
        <f>+IF($D16&lt;&gt;"",BB$6*$Q16/$T$4*VLOOKUP($M16,CÁRNICOS!$CD$13:$CJ$48,6,FALSE),BB$5*$Q16/$T$4*$BA$1)</f>
        <v>0</v>
      </c>
      <c r="BC16" s="2">
        <f>+IF($D16&lt;&gt;"",BC$6*$R16/$T$4*VLOOKUP($M16,CÁRNICOS!$CD$13:$CJ$48,6,FALSE),BC$5*$R16/$T$4*$BA$1)</f>
        <v>0</v>
      </c>
      <c r="BD16" s="2">
        <f>+IF($D16&lt;&gt;"",BD$6*$S16/$T$4*VLOOKUP($M16,CÁRNICOS!$CD$13:$CJ$48,6,FALSE),BD$5*$S16/$T$4*$BA$1)</f>
        <v>0</v>
      </c>
      <c r="BE16" s="2">
        <f>+IF($D16&lt;&gt;"",BE$6*$T16/$T$4*VLOOKUP($M16,CÁRNICOS!$CD$13:$CJ$48,6,FALSE),BE$5*$T16/$T$4*$BA$1)</f>
        <v>0</v>
      </c>
      <c r="BF16" s="120">
        <f t="shared" si="2"/>
        <v>0</v>
      </c>
      <c r="BG16" s="149">
        <f t="shared" si="3"/>
        <v>0</v>
      </c>
      <c r="BH16" s="120">
        <f t="shared" si="4"/>
        <v>0</v>
      </c>
      <c r="BI16" s="2">
        <f>+IF($D16&lt;&gt;"",BI$6*$P16/$T$4*VLOOKUP($M16,CÁRNICOS!$CD$13:$CJ$48,7,FALSE),BI$5*$P16/$T$4*$BI$1)</f>
        <v>0</v>
      </c>
      <c r="BJ16" s="2">
        <f>+IF($D16&lt;&gt;"",BJ$6*$Q16/$T$4*VLOOKUP($M16,CÁRNICOS!$CD$13:$CJ$48,7,FALSE),BJ$5*$Q16/$T$4*$BI$1)</f>
        <v>0</v>
      </c>
      <c r="BK16" s="2">
        <f>+IF($D16&lt;&gt;"",BK$6*$R16/$T$4*VLOOKUP($M16,CÁRNICOS!$CD$13:$CJ$48,7,FALSE),BK$5*$R16/$T$4*$BI$1)</f>
        <v>0</v>
      </c>
      <c r="BL16" s="2">
        <f>+IF($D16&lt;&gt;"",BL$6*$S16/$T$4*VLOOKUP($M16,CÁRNICOS!$CD$13:$CJ$48,7,FALSE),BL$5*$S16/$T$4*$BI$1)</f>
        <v>0</v>
      </c>
      <c r="BM16" s="2">
        <f>+IF($D16&lt;&gt;"",BM$6*$T16/$T$4*VLOOKUP($M16,CÁRNICOS!$CD$13:$CJ$48,7,FALSE),BM$5*$T16/$T$4*$BI$1)</f>
        <v>0</v>
      </c>
      <c r="BN16" s="120">
        <f t="shared" si="5"/>
        <v>0</v>
      </c>
      <c r="BO16" s="149">
        <f t="shared" si="16"/>
        <v>0</v>
      </c>
      <c r="BP16" s="120">
        <f t="shared" si="17"/>
        <v>0</v>
      </c>
      <c r="BR16" s="74">
        <f t="shared" si="6"/>
        <v>1</v>
      </c>
      <c r="BS16" s="74" t="str">
        <f t="shared" si="7"/>
        <v>BELALCÁZAR</v>
      </c>
      <c r="BT16" s="74" t="str">
        <f t="shared" si="8"/>
        <v>INSTITUCION EDUCATIVA EL MADROÑO</v>
      </c>
      <c r="BU16" s="74" t="str">
        <f t="shared" si="9"/>
        <v>INSTITUCION EDUCATIVA EL MADROÑO - SEDE PRINCIPAL</v>
      </c>
      <c r="BV16" s="74">
        <f t="shared" si="10"/>
        <v>0</v>
      </c>
      <c r="BW16" s="74">
        <f t="shared" si="11"/>
        <v>0</v>
      </c>
      <c r="BX16" s="74">
        <f t="shared" si="12"/>
        <v>0</v>
      </c>
      <c r="BY16" s="74">
        <f t="shared" si="13"/>
        <v>1.68</v>
      </c>
      <c r="BZ16" s="74">
        <f t="shared" si="14"/>
        <v>0</v>
      </c>
      <c r="CA16" s="74">
        <f t="shared" si="15"/>
        <v>0</v>
      </c>
      <c r="CD16" s="135" t="str">
        <f>+CONSOLIDADO!C15</f>
        <v>SAMANÁ (FLORENCIA)</v>
      </c>
      <c r="CE16" s="136">
        <f t="shared" si="18"/>
        <v>0</v>
      </c>
      <c r="CF16" s="136">
        <f t="shared" si="18"/>
        <v>0</v>
      </c>
      <c r="CG16" s="136">
        <f t="shared" si="18"/>
        <v>0</v>
      </c>
      <c r="CH16" s="136">
        <f t="shared" si="18"/>
        <v>1</v>
      </c>
      <c r="CI16" s="136">
        <f t="shared" si="18"/>
        <v>0</v>
      </c>
      <c r="CJ16" s="136">
        <f t="shared" si="18"/>
        <v>0</v>
      </c>
    </row>
    <row r="17" spans="1:88" ht="29.95" customHeight="1" x14ac:dyDescent="0.3">
      <c r="B17" s="46">
        <f>+COUNTIF($M$8:M17,M17)</f>
        <v>3</v>
      </c>
      <c r="C17" s="14">
        <f>SUM(P17:T17)</f>
        <v>47</v>
      </c>
      <c r="D17" s="22" t="s">
        <v>73</v>
      </c>
      <c r="E17" s="124"/>
      <c r="F17" s="60"/>
      <c r="G17" s="60"/>
      <c r="H17" s="60"/>
      <c r="I17" s="60"/>
      <c r="J17" s="60"/>
      <c r="K17" s="59"/>
      <c r="L17" s="122">
        <v>4</v>
      </c>
      <c r="M17" s="162" t="s">
        <v>33</v>
      </c>
      <c r="N17" s="162" t="s">
        <v>237</v>
      </c>
      <c r="O17" s="163" t="s">
        <v>238</v>
      </c>
      <c r="P17" s="74">
        <v>47</v>
      </c>
      <c r="Q17" s="74">
        <v>0</v>
      </c>
      <c r="R17" s="139">
        <v>0</v>
      </c>
      <c r="S17" s="74">
        <v>0</v>
      </c>
      <c r="T17" s="74">
        <v>0</v>
      </c>
      <c r="U17" s="2">
        <f>+IF($D17&lt;&gt;"",U$6*$P17/$T$4*VLOOKUP($M17,CÁRNICOS!$CD$13:$CJ$48,2,FALSE),U$5*$P17/$T$4*$U$1)</f>
        <v>0</v>
      </c>
      <c r="V17" s="2">
        <f>+IF($D17&lt;&gt;"",V$6*$Q17/$T$4*VLOOKUP($M17,CÁRNICOS!$CD$13:$CJ$48,2,FALSE),V$5*$Q17/$T$4*$U$1)</f>
        <v>0</v>
      </c>
      <c r="W17" s="2">
        <f>+IF($D17&lt;&gt;"",W$6*$R17/$T$4*VLOOKUP($M17,CÁRNICOS!$CD$13:$CJ$48,2,FALSE),W$5*$R17/$T$4*$U$1)</f>
        <v>0</v>
      </c>
      <c r="X17" s="2">
        <f>+IF($D17&lt;&gt;"",X$6*$S17/$T$4*VLOOKUP($M17,CÁRNICOS!$CD$13:$CJ$48,2,FALSE),X$5*$S17/$T$4*$U$1)</f>
        <v>0</v>
      </c>
      <c r="Y17" s="2">
        <f>+IF($D17&lt;&gt;"",Y$6*$T17/$T$4*VLOOKUP($M17,CÁRNICOS!$CD$13:$CJ$48,2,FALSE),Y$5*$T17/$T$4*$U$1)</f>
        <v>0</v>
      </c>
      <c r="Z17" s="146">
        <f>IF($E17&lt;&gt;"",0,SUM(U17:Y17))</f>
        <v>0</v>
      </c>
      <c r="AA17" s="149">
        <f>+ROUNDUP(Z17/AA$4,0)</f>
        <v>0</v>
      </c>
      <c r="AB17" s="120">
        <f>+IF(Z17*AA17=0,0,(ROUNDUP(Z17/AA17,3)))</f>
        <v>0</v>
      </c>
      <c r="AC17" s="147">
        <f>+IF($D17&lt;&gt;"",AC$6*$P17/$T$4*VLOOKUP($M17,CÁRNICOS!$CD$13:$CJ$48,3,FALSE),AC$5*$P17/$T$4*$AC$1)</f>
        <v>0</v>
      </c>
      <c r="AD17" s="147">
        <f>+IF($D17&lt;&gt;"",AD$6*$Q17/$T$4*VLOOKUP($M17,CÁRNICOS!$CD$13:$CJ$48,3,FALSE),AD$5*$Q17/$T$4*$AC$1)</f>
        <v>0</v>
      </c>
      <c r="AE17" s="2">
        <f>+IF($D17&lt;&gt;"",AE$6*$R17/$T$4*VLOOKUP($M17,CÁRNICOS!$CD$13:$CJ$48,3,FALSE),AE$5*$R17/$T$4*$AC$1)</f>
        <v>0</v>
      </c>
      <c r="AF17" s="2">
        <f>+IF($D17&lt;&gt;"",AF$6*$S17/$T$4*VLOOKUP($M17,CÁRNICOS!$CD$13:$CJ$48,3,FALSE),AF$5*$S17/$T$4*$AC$1)</f>
        <v>0</v>
      </c>
      <c r="AG17" s="2">
        <f>+IF($D17&lt;&gt;"",AG$6*$T17/$T$4*VLOOKUP($M17,CÁRNICOS!$CD$13:$CJ$48,3,FALSE),AG$5*$T17/$T$4*$AC$1)</f>
        <v>0</v>
      </c>
      <c r="AH17" s="120">
        <f>IF($F17&lt;&gt;"",0,SUM(AC17:AG17))</f>
        <v>0</v>
      </c>
      <c r="AI17" s="149">
        <f>+ROUNDUP(AH17/AI$4,0)</f>
        <v>0</v>
      </c>
      <c r="AJ17" s="120">
        <f>+IF(AH17*AI17=0,0,(ROUNDUP(AH17/AI17,3)))</f>
        <v>0</v>
      </c>
      <c r="AK17" s="2">
        <f>+IF($D17&lt;&gt;"",AK$6*$P17/$T$4*VLOOKUP($M17,CÁRNICOS!$CD$13:$CJ$48,4,FALSE),AK$5*$P17/$T$4*$AK$1)</f>
        <v>0</v>
      </c>
      <c r="AL17" s="2">
        <f>+IF($D17&lt;&gt;"",AL$6*$Q17/$T$4*VLOOKUP($M17,CÁRNICOS!$CD$13:$CJ$48,4,FALSE),AL$5*$Q17/$T$4*$AK$1)</f>
        <v>0</v>
      </c>
      <c r="AM17" s="2">
        <f>+IF($D17&lt;&gt;"",AM$6*$R17/$T$4*VLOOKUP($M17,CÁRNICOS!$CD$13:$CJ$48,4,FALSE),AM$5*$R17/$T$4*$AK$1)</f>
        <v>0</v>
      </c>
      <c r="AN17" s="2">
        <f>+IF($D17&lt;&gt;"",AN$6*$S17/$T$4*VLOOKUP($M17,CÁRNICOS!$CD$13:$CJ$48,4,FALSE),AN$5*$S17/$T$4*$AK$1)</f>
        <v>0</v>
      </c>
      <c r="AO17" s="2">
        <f>+IF($D17&lt;&gt;"",AO$6*$T17/$T$4*VLOOKUP($M17,CÁRNICOS!$CD$13:$CJ$48,4,FALSE),AO$5*$T17/$T$4*$AK$1)</f>
        <v>0</v>
      </c>
      <c r="AP17" s="120">
        <f>IF($G17&lt;&gt;"",0,SUM(AK17:AO17))</f>
        <v>0</v>
      </c>
      <c r="AQ17" s="149">
        <f>+ROUNDUP(AP17/AQ$4,0)</f>
        <v>0</v>
      </c>
      <c r="AR17" s="120">
        <f>+IF(AP17*AQ17=0,0,(ROUNDUP(AP17/AQ17,3)))</f>
        <v>0</v>
      </c>
      <c r="AS17" s="2">
        <f>+IF($D17&lt;&gt;"",AS$6*$P17/$T$4*VLOOKUP($M17,CÁRNICOS!$CD$13:$CJ$48,5,FALSE),AS$5*$P17/$T$4*$AS$1)</f>
        <v>2.5379999999999998</v>
      </c>
      <c r="AT17" s="2">
        <f>+IF($D17&lt;&gt;"",AT$6*$Q17/$T$4*VLOOKUP($M17,CÁRNICOS!$CD$13:$CJ$48,5,FALSE),AT$5*$Q17/$T$4*$AS$1)</f>
        <v>0</v>
      </c>
      <c r="AU17" s="2">
        <f>+IF($D17&lt;&gt;"",AU$6*$R17/$T$4*VLOOKUP($M17,CÁRNICOS!$CD$13:$CJ$48,5,FALSE),AU$5*$R17/$T$4*$AS$1)</f>
        <v>0</v>
      </c>
      <c r="AV17" s="2">
        <f>+IF($D17&lt;&gt;"",AV$6*$S17/$T$4*VLOOKUP($M17,CÁRNICOS!$CD$13:$CJ$48,5,FALSE),AV$5*$S17/$T$4*$AS$1)</f>
        <v>0</v>
      </c>
      <c r="AW17" s="2">
        <f>+IF($D17&lt;&gt;"",AW$6*$T17/$T$4*VLOOKUP($M17,CÁRNICOS!$CD$13:$CJ$48,5,FALSE),AW$5*$T17/$T$4*$AS$1)</f>
        <v>0</v>
      </c>
      <c r="AX17" s="120">
        <f>IF($H17&lt;&gt;"",0,SUM(AS17:AW17))</f>
        <v>2.5379999999999998</v>
      </c>
      <c r="AY17" s="149">
        <f>+ROUNDUP(AX17/AY$4,0)</f>
        <v>1</v>
      </c>
      <c r="AZ17" s="120">
        <f>+IF(AX17*AY17=0,0,(ROUNDUP(AX17/AY17,3)))</f>
        <v>2.5379999999999998</v>
      </c>
      <c r="BA17" s="2">
        <f>+IF($D17&lt;&gt;"",BA$6*$P17/$T$4*VLOOKUP($M17,CÁRNICOS!$CD$13:$CJ$48,6,FALSE),BA$5*$P17/$T$4*$BA$1)</f>
        <v>0</v>
      </c>
      <c r="BB17" s="2">
        <f>+IF($D17&lt;&gt;"",BB$6*$Q17/$T$4*VLOOKUP($M17,CÁRNICOS!$CD$13:$CJ$48,6,FALSE),BB$5*$Q17/$T$4*$BA$1)</f>
        <v>0</v>
      </c>
      <c r="BC17" s="2">
        <f>+IF($D17&lt;&gt;"",BC$6*$R17/$T$4*VLOOKUP($M17,CÁRNICOS!$CD$13:$CJ$48,6,FALSE),BC$5*$R17/$T$4*$BA$1)</f>
        <v>0</v>
      </c>
      <c r="BD17" s="2">
        <f>+IF($D17&lt;&gt;"",BD$6*$S17/$T$4*VLOOKUP($M17,CÁRNICOS!$CD$13:$CJ$48,6,FALSE),BD$5*$S17/$T$4*$BA$1)</f>
        <v>0</v>
      </c>
      <c r="BE17" s="2">
        <f>+IF($D17&lt;&gt;"",BE$6*$T17/$T$4*VLOOKUP($M17,CÁRNICOS!$CD$13:$CJ$48,6,FALSE),BE$5*$T17/$T$4*$BA$1)</f>
        <v>0</v>
      </c>
      <c r="BF17" s="120">
        <f t="shared" si="2"/>
        <v>0</v>
      </c>
      <c r="BG17" s="149">
        <f t="shared" si="3"/>
        <v>0</v>
      </c>
      <c r="BH17" s="120">
        <f t="shared" si="4"/>
        <v>0</v>
      </c>
      <c r="BI17" s="2">
        <f>+IF($D17&lt;&gt;"",BI$6*$P17/$T$4*VLOOKUP($M17,CÁRNICOS!$CD$13:$CJ$48,7,FALSE),BI$5*$P17/$T$4*$BI$1)</f>
        <v>0</v>
      </c>
      <c r="BJ17" s="2">
        <f>+IF($D17&lt;&gt;"",BJ$6*$Q17/$T$4*VLOOKUP($M17,CÁRNICOS!$CD$13:$CJ$48,7,FALSE),BJ$5*$Q17/$T$4*$BI$1)</f>
        <v>0</v>
      </c>
      <c r="BK17" s="2">
        <f>+IF($D17&lt;&gt;"",BK$6*$R17/$T$4*VLOOKUP($M17,CÁRNICOS!$CD$13:$CJ$48,7,FALSE),BK$5*$R17/$T$4*$BI$1)</f>
        <v>0</v>
      </c>
      <c r="BL17" s="2">
        <f>+IF($D17&lt;&gt;"",BL$6*$S17/$T$4*VLOOKUP($M17,CÁRNICOS!$CD$13:$CJ$48,7,FALSE),BL$5*$S17/$T$4*$BI$1)</f>
        <v>0</v>
      </c>
      <c r="BM17" s="2">
        <f>+IF($D17&lt;&gt;"",BM$6*$T17/$T$4*VLOOKUP($M17,CÁRNICOS!$CD$13:$CJ$48,7,FALSE),BM$5*$T17/$T$4*$BI$1)</f>
        <v>0</v>
      </c>
      <c r="BN17" s="120">
        <f t="shared" si="5"/>
        <v>0</v>
      </c>
      <c r="BO17" s="149">
        <f t="shared" si="16"/>
        <v>0</v>
      </c>
      <c r="BP17" s="120">
        <f t="shared" si="17"/>
        <v>0</v>
      </c>
      <c r="BR17" s="74">
        <f t="shared" si="6"/>
        <v>4</v>
      </c>
      <c r="BS17" s="74" t="str">
        <f t="shared" si="7"/>
        <v>BELALCÁZAR</v>
      </c>
      <c r="BT17" s="74" t="str">
        <f t="shared" si="8"/>
        <v>INSTITUCION EDUCATIVA CRISTO REY</v>
      </c>
      <c r="BU17" s="74" t="str">
        <f t="shared" si="9"/>
        <v>CENTRO DOCENTE MANUELA BELTRAN</v>
      </c>
      <c r="BV17" s="74">
        <f t="shared" si="10"/>
        <v>0</v>
      </c>
      <c r="BW17" s="74">
        <f t="shared" si="11"/>
        <v>0</v>
      </c>
      <c r="BX17" s="74">
        <f t="shared" si="12"/>
        <v>0</v>
      </c>
      <c r="BY17" s="74">
        <f t="shared" si="13"/>
        <v>2.5379999999999998</v>
      </c>
      <c r="BZ17" s="74">
        <f t="shared" si="14"/>
        <v>0</v>
      </c>
      <c r="CA17" s="74">
        <f t="shared" si="15"/>
        <v>0</v>
      </c>
      <c r="CD17" s="135" t="str">
        <f>+CONSOLIDADO!C16</f>
        <v>SAMANÁ (SAN DIEGO)</v>
      </c>
      <c r="CE17" s="136">
        <f t="shared" si="18"/>
        <v>0</v>
      </c>
      <c r="CF17" s="136">
        <f t="shared" si="18"/>
        <v>0</v>
      </c>
      <c r="CG17" s="136">
        <f t="shared" si="18"/>
        <v>0</v>
      </c>
      <c r="CH17" s="136">
        <f t="shared" si="18"/>
        <v>1</v>
      </c>
      <c r="CI17" s="136">
        <f t="shared" si="18"/>
        <v>0</v>
      </c>
      <c r="CJ17" s="136">
        <f t="shared" si="18"/>
        <v>0</v>
      </c>
    </row>
    <row r="18" spans="1:88" ht="29.95" customHeight="1" x14ac:dyDescent="0.3">
      <c r="B18" s="46">
        <f>+COUNTIF($M$8:M18,M18)</f>
        <v>4</v>
      </c>
      <c r="C18" s="14">
        <f>SUM(P18:T18)</f>
        <v>72</v>
      </c>
      <c r="D18" s="22" t="s">
        <v>73</v>
      </c>
      <c r="E18" s="124"/>
      <c r="F18" s="60"/>
      <c r="G18" s="60"/>
      <c r="H18" s="60"/>
      <c r="I18" s="60"/>
      <c r="J18" s="60"/>
      <c r="K18" s="59"/>
      <c r="L18" s="122">
        <v>4</v>
      </c>
      <c r="M18" s="162" t="s">
        <v>33</v>
      </c>
      <c r="N18" s="162" t="s">
        <v>237</v>
      </c>
      <c r="O18" s="163" t="s">
        <v>239</v>
      </c>
      <c r="P18" s="74">
        <v>0</v>
      </c>
      <c r="Q18" s="74">
        <v>35</v>
      </c>
      <c r="R18" s="139">
        <v>37</v>
      </c>
      <c r="S18" s="74">
        <v>0</v>
      </c>
      <c r="T18" s="74">
        <v>0</v>
      </c>
      <c r="U18" s="2">
        <f>+IF($D18&lt;&gt;"",U$6*$P18/$T$4*VLOOKUP($M18,CÁRNICOS!$CD$13:$CJ$48,2,FALSE),U$5*$P18/$T$4*$U$1)</f>
        <v>0</v>
      </c>
      <c r="V18" s="2">
        <f>+IF($D18&lt;&gt;"",V$6*$Q18/$T$4*VLOOKUP($M18,CÁRNICOS!$CD$13:$CJ$48,2,FALSE),V$5*$Q18/$T$4*$U$1)</f>
        <v>0</v>
      </c>
      <c r="W18" s="2">
        <f>+IF($D18&lt;&gt;"",W$6*$R18/$T$4*VLOOKUP($M18,CÁRNICOS!$CD$13:$CJ$48,2,FALSE),W$5*$R18/$T$4*$U$1)</f>
        <v>0</v>
      </c>
      <c r="X18" s="2">
        <f>+IF($D18&lt;&gt;"",X$6*$S18/$T$4*VLOOKUP($M18,CÁRNICOS!$CD$13:$CJ$48,2,FALSE),X$5*$S18/$T$4*$U$1)</f>
        <v>0</v>
      </c>
      <c r="Y18" s="2">
        <f>+IF($D18&lt;&gt;"",Y$6*$T18/$T$4*VLOOKUP($M18,CÁRNICOS!$CD$13:$CJ$48,2,FALSE),Y$5*$T18/$T$4*$U$1)</f>
        <v>0</v>
      </c>
      <c r="Z18" s="146">
        <f>IF($E18&lt;&gt;"",0,SUM(U18:Y18))</f>
        <v>0</v>
      </c>
      <c r="AA18" s="149">
        <f>+ROUNDUP(Z18/AA$4,0)</f>
        <v>0</v>
      </c>
      <c r="AB18" s="120">
        <f>+IF(Z18*AA18=0,0,(ROUNDUP(Z18/AA18,3)))</f>
        <v>0</v>
      </c>
      <c r="AC18" s="147">
        <f>+IF($D18&lt;&gt;"",AC$6*$P18/$T$4*VLOOKUP($M18,CÁRNICOS!$CD$13:$CJ$48,3,FALSE),AC$5*$P18/$T$4*$AC$1)</f>
        <v>0</v>
      </c>
      <c r="AD18" s="147">
        <f>+IF($D18&lt;&gt;"",AD$6*$Q18/$T$4*VLOOKUP($M18,CÁRNICOS!$CD$13:$CJ$48,3,FALSE),AD$5*$Q18/$T$4*$AC$1)</f>
        <v>0</v>
      </c>
      <c r="AE18" s="2">
        <f>+IF($D18&lt;&gt;"",AE$6*$R18/$T$4*VLOOKUP($M18,CÁRNICOS!$CD$13:$CJ$48,3,FALSE),AE$5*$R18/$T$4*$AC$1)</f>
        <v>0</v>
      </c>
      <c r="AF18" s="2">
        <f>+IF($D18&lt;&gt;"",AF$6*$S18/$T$4*VLOOKUP($M18,CÁRNICOS!$CD$13:$CJ$48,3,FALSE),AF$5*$S18/$T$4*$AC$1)</f>
        <v>0</v>
      </c>
      <c r="AG18" s="2">
        <f>+IF($D18&lt;&gt;"",AG$6*$T18/$T$4*VLOOKUP($M18,CÁRNICOS!$CD$13:$CJ$48,3,FALSE),AG$5*$T18/$T$4*$AC$1)</f>
        <v>0</v>
      </c>
      <c r="AH18" s="120">
        <f>IF($F18&lt;&gt;"",0,SUM(AC18:AG18))</f>
        <v>0</v>
      </c>
      <c r="AI18" s="149">
        <f>+ROUNDUP(AH18/AI$4,0)</f>
        <v>0</v>
      </c>
      <c r="AJ18" s="120">
        <f>+IF(AH18*AI18=0,0,(ROUNDUP(AH18/AI18,3)))</f>
        <v>0</v>
      </c>
      <c r="AK18" s="2">
        <f>+IF($D18&lt;&gt;"",AK$6*$P18/$T$4*VLOOKUP($M18,CÁRNICOS!$CD$13:$CJ$48,4,FALSE),AK$5*$P18/$T$4*$AK$1)</f>
        <v>0</v>
      </c>
      <c r="AL18" s="2">
        <f>+IF($D18&lt;&gt;"",AL$6*$Q18/$T$4*VLOOKUP($M18,CÁRNICOS!$CD$13:$CJ$48,4,FALSE),AL$5*$Q18/$T$4*$AK$1)</f>
        <v>0</v>
      </c>
      <c r="AM18" s="2">
        <f>+IF($D18&lt;&gt;"",AM$6*$R18/$T$4*VLOOKUP($M18,CÁRNICOS!$CD$13:$CJ$48,4,FALSE),AM$5*$R18/$T$4*$AK$1)</f>
        <v>0</v>
      </c>
      <c r="AN18" s="2">
        <f>+IF($D18&lt;&gt;"",AN$6*$S18/$T$4*VLOOKUP($M18,CÁRNICOS!$CD$13:$CJ$48,4,FALSE),AN$5*$S18/$T$4*$AK$1)</f>
        <v>0</v>
      </c>
      <c r="AO18" s="2">
        <f>+IF($D18&lt;&gt;"",AO$6*$T18/$T$4*VLOOKUP($M18,CÁRNICOS!$CD$13:$CJ$48,4,FALSE),AO$5*$T18/$T$4*$AK$1)</f>
        <v>0</v>
      </c>
      <c r="AP18" s="120">
        <f>IF($G18&lt;&gt;"",0,SUM(AK18:AO18))</f>
        <v>0</v>
      </c>
      <c r="AQ18" s="149">
        <f>+ROUNDUP(AP18/AQ$4,0)</f>
        <v>0</v>
      </c>
      <c r="AR18" s="120">
        <f>+IF(AP18*AQ18=0,0,(ROUNDUP(AP18/AQ18,3)))</f>
        <v>0</v>
      </c>
      <c r="AS18" s="2">
        <f>+IF($D18&lt;&gt;"",AS$6*$P18/$T$4*VLOOKUP($M18,CÁRNICOS!$CD$13:$CJ$48,5,FALSE),AS$5*$P18/$T$4*$AS$1)</f>
        <v>0</v>
      </c>
      <c r="AT18" s="2">
        <f>+IF($D18&lt;&gt;"",AT$6*$Q18/$T$4*VLOOKUP($M18,CÁRNICOS!$CD$13:$CJ$48,5,FALSE),AT$5*$Q18/$T$4*$AS$1)</f>
        <v>1.89</v>
      </c>
      <c r="AU18" s="2">
        <f>+IF($D18&lt;&gt;"",AU$6*$R18/$T$4*VLOOKUP($M18,CÁRNICOS!$CD$13:$CJ$48,5,FALSE),AU$5*$R18/$T$4*$AS$1)</f>
        <v>2.4049999999999998</v>
      </c>
      <c r="AV18" s="2">
        <f>+IF($D18&lt;&gt;"",AV$6*$S18/$T$4*VLOOKUP($M18,CÁRNICOS!$CD$13:$CJ$48,5,FALSE),AV$5*$S18/$T$4*$AS$1)</f>
        <v>0</v>
      </c>
      <c r="AW18" s="2">
        <f>+IF($D18&lt;&gt;"",AW$6*$T18/$T$4*VLOOKUP($M18,CÁRNICOS!$CD$13:$CJ$48,5,FALSE),AW$5*$T18/$T$4*$AS$1)</f>
        <v>0</v>
      </c>
      <c r="AX18" s="120">
        <f>IF($H18&lt;&gt;"",0,SUM(AS18:AW18))</f>
        <v>4.2949999999999999</v>
      </c>
      <c r="AY18" s="149">
        <f>+ROUNDUP(AX18/AY$4,0)</f>
        <v>1</v>
      </c>
      <c r="AZ18" s="120">
        <f>+IF(AX18*AY18=0,0,(ROUNDUP(AX18/AY18,3)))</f>
        <v>4.2949999999999999</v>
      </c>
      <c r="BA18" s="2">
        <f>+IF($D18&lt;&gt;"",BA$6*$P18/$T$4*VLOOKUP($M18,CÁRNICOS!$CD$13:$CJ$48,6,FALSE),BA$5*$P18/$T$4*$BA$1)</f>
        <v>0</v>
      </c>
      <c r="BB18" s="2">
        <f>+IF($D18&lt;&gt;"",BB$6*$Q18/$T$4*VLOOKUP($M18,CÁRNICOS!$CD$13:$CJ$48,6,FALSE),BB$5*$Q18/$T$4*$BA$1)</f>
        <v>0</v>
      </c>
      <c r="BC18" s="2">
        <f>+IF($D18&lt;&gt;"",BC$6*$R18/$T$4*VLOOKUP($M18,CÁRNICOS!$CD$13:$CJ$48,6,FALSE),BC$5*$R18/$T$4*$BA$1)</f>
        <v>0</v>
      </c>
      <c r="BD18" s="2">
        <f>+IF($D18&lt;&gt;"",BD$6*$S18/$T$4*VLOOKUP($M18,CÁRNICOS!$CD$13:$CJ$48,6,FALSE),BD$5*$S18/$T$4*$BA$1)</f>
        <v>0</v>
      </c>
      <c r="BE18" s="2">
        <f>+IF($D18&lt;&gt;"",BE$6*$T18/$T$4*VLOOKUP($M18,CÁRNICOS!$CD$13:$CJ$48,6,FALSE),BE$5*$T18/$T$4*$BA$1)</f>
        <v>0</v>
      </c>
      <c r="BF18" s="120">
        <f t="shared" si="2"/>
        <v>0</v>
      </c>
      <c r="BG18" s="149">
        <f t="shared" si="3"/>
        <v>0</v>
      </c>
      <c r="BH18" s="120">
        <f t="shared" si="4"/>
        <v>0</v>
      </c>
      <c r="BI18" s="2">
        <f>+IF($D18&lt;&gt;"",BI$6*$P18/$T$4*VLOOKUP($M18,CÁRNICOS!$CD$13:$CJ$48,7,FALSE),BI$5*$P18/$T$4*$BI$1)</f>
        <v>0</v>
      </c>
      <c r="BJ18" s="2">
        <f>+IF($D18&lt;&gt;"",BJ$6*$Q18/$T$4*VLOOKUP($M18,CÁRNICOS!$CD$13:$CJ$48,7,FALSE),BJ$5*$Q18/$T$4*$BI$1)</f>
        <v>0</v>
      </c>
      <c r="BK18" s="2">
        <f>+IF($D18&lt;&gt;"",BK$6*$R18/$T$4*VLOOKUP($M18,CÁRNICOS!$CD$13:$CJ$48,7,FALSE),BK$5*$R18/$T$4*$BI$1)</f>
        <v>0</v>
      </c>
      <c r="BL18" s="2">
        <f>+IF($D18&lt;&gt;"",BL$6*$S18/$T$4*VLOOKUP($M18,CÁRNICOS!$CD$13:$CJ$48,7,FALSE),BL$5*$S18/$T$4*$BI$1)</f>
        <v>0</v>
      </c>
      <c r="BM18" s="2">
        <f>+IF($D18&lt;&gt;"",BM$6*$T18/$T$4*VLOOKUP($M18,CÁRNICOS!$CD$13:$CJ$48,7,FALSE),BM$5*$T18/$T$4*$BI$1)</f>
        <v>0</v>
      </c>
      <c r="BN18" s="120">
        <f t="shared" si="5"/>
        <v>0</v>
      </c>
      <c r="BO18" s="149">
        <f t="shared" si="16"/>
        <v>0</v>
      </c>
      <c r="BP18" s="120">
        <f t="shared" si="17"/>
        <v>0</v>
      </c>
      <c r="BR18" s="74">
        <f t="shared" si="6"/>
        <v>4</v>
      </c>
      <c r="BS18" s="74" t="str">
        <f t="shared" si="7"/>
        <v>BELALCÁZAR</v>
      </c>
      <c r="BT18" s="74" t="str">
        <f t="shared" si="8"/>
        <v>INSTITUCION EDUCATIVA CRISTO REY</v>
      </c>
      <c r="BU18" s="74" t="str">
        <f t="shared" si="9"/>
        <v>ESCUELA RAFAEL POMBO</v>
      </c>
      <c r="BV18" s="74">
        <f t="shared" si="10"/>
        <v>0</v>
      </c>
      <c r="BW18" s="74">
        <f t="shared" si="11"/>
        <v>0</v>
      </c>
      <c r="BX18" s="74">
        <f t="shared" si="12"/>
        <v>0</v>
      </c>
      <c r="BY18" s="74">
        <f t="shared" si="13"/>
        <v>4.2949999999999999</v>
      </c>
      <c r="BZ18" s="74">
        <f t="shared" si="14"/>
        <v>0</v>
      </c>
      <c r="CA18" s="74">
        <f t="shared" si="15"/>
        <v>0</v>
      </c>
      <c r="CD18" s="135" t="str">
        <f>+CONSOLIDADO!C17</f>
        <v>SAMANÁ (BERLÍN)</v>
      </c>
      <c r="CE18" s="136">
        <f t="shared" si="18"/>
        <v>0</v>
      </c>
      <c r="CF18" s="136">
        <f t="shared" si="18"/>
        <v>0</v>
      </c>
      <c r="CG18" s="136">
        <f t="shared" si="18"/>
        <v>0</v>
      </c>
      <c r="CH18" s="136">
        <f t="shared" si="18"/>
        <v>1</v>
      </c>
      <c r="CI18" s="136">
        <f t="shared" si="18"/>
        <v>0</v>
      </c>
      <c r="CJ18" s="136">
        <f t="shared" si="18"/>
        <v>0</v>
      </c>
    </row>
    <row r="19" spans="1:88" ht="29.95" customHeight="1" x14ac:dyDescent="0.3">
      <c r="B19" s="46">
        <f>+COUNTIF($M$8:M19,M19)</f>
        <v>1</v>
      </c>
      <c r="C19" s="14">
        <f>SUM(P19:T19)</f>
        <v>60</v>
      </c>
      <c r="D19" s="22" t="s">
        <v>73</v>
      </c>
      <c r="E19" s="124"/>
      <c r="F19" s="60"/>
      <c r="G19" s="60"/>
      <c r="H19" s="60"/>
      <c r="I19" s="60"/>
      <c r="J19" s="60"/>
      <c r="K19" s="59"/>
      <c r="L19" s="122" t="s">
        <v>232</v>
      </c>
      <c r="M19" s="164" t="s">
        <v>24</v>
      </c>
      <c r="N19" s="164" t="s">
        <v>230</v>
      </c>
      <c r="O19" s="165" t="s">
        <v>231</v>
      </c>
      <c r="P19" s="166">
        <v>0</v>
      </c>
      <c r="Q19" s="166">
        <v>0</v>
      </c>
      <c r="R19" s="167">
        <v>0</v>
      </c>
      <c r="S19" s="74">
        <v>50</v>
      </c>
      <c r="T19" s="74">
        <v>10</v>
      </c>
      <c r="U19" s="2">
        <f>+IF($D19&lt;&gt;"",U$6*$P19/$T$4*VLOOKUP($M19,CÁRNICOS!$CD$13:$CJ$48,2,FALSE),U$5*$P19/$T$4*$U$1)</f>
        <v>0</v>
      </c>
      <c r="V19" s="2">
        <f>+IF($D19&lt;&gt;"",V$6*$Q19/$T$4*VLOOKUP($M19,CÁRNICOS!$CD$13:$CJ$48,2,FALSE),V$5*$Q19/$T$4*$U$1)</f>
        <v>0</v>
      </c>
      <c r="W19" s="2">
        <f>+IF($D19&lt;&gt;"",W$6*$R19/$T$4*VLOOKUP($M19,CÁRNICOS!$CD$13:$CJ$48,2,FALSE),W$5*$R19/$T$4*$U$1)</f>
        <v>0</v>
      </c>
      <c r="X19" s="2">
        <f>+IF($D19&lt;&gt;"",X$6*$S19/$T$4*VLOOKUP($M19,CÁRNICOS!$CD$13:$CJ$48,2,FALSE),X$5*$S19/$T$4*$U$1)</f>
        <v>0</v>
      </c>
      <c r="Y19" s="2">
        <f>+IF($D19&lt;&gt;"",Y$6*$T19/$T$4*VLOOKUP($M19,CÁRNICOS!$CD$13:$CJ$48,2,FALSE),Y$5*$T19/$T$4*$U$1)</f>
        <v>0</v>
      </c>
      <c r="Z19" s="146">
        <f>IF($E19&lt;&gt;"",0,SUM(U19:Y19))</f>
        <v>0</v>
      </c>
      <c r="AA19" s="149">
        <f>+ROUNDUP(Z19/AA$4,0)</f>
        <v>0</v>
      </c>
      <c r="AB19" s="120">
        <f>+IF(Z19*AA19=0,0,(ROUNDUP(Z19/AA19,3)))</f>
        <v>0</v>
      </c>
      <c r="AC19" s="147">
        <f>+IF($D19&lt;&gt;"",AC$6*$P19/$T$4*VLOOKUP($M19,CÁRNICOS!$CD$13:$CJ$48,3,FALSE),AC$5*$P19/$T$4*$AC$1)</f>
        <v>0</v>
      </c>
      <c r="AD19" s="147">
        <f>+IF($D19&lt;&gt;"",AD$6*$Q19/$T$4*VLOOKUP($M19,CÁRNICOS!$CD$13:$CJ$48,3,FALSE),AD$5*$Q19/$T$4*$AC$1)</f>
        <v>0</v>
      </c>
      <c r="AE19" s="2">
        <f>+IF($D19&lt;&gt;"",AE$6*$R19/$T$4*VLOOKUP($M19,CÁRNICOS!$CD$13:$CJ$48,3,FALSE),AE$5*$R19/$T$4*$AC$1)</f>
        <v>0</v>
      </c>
      <c r="AF19" s="2">
        <f>+IF($D19&lt;&gt;"",AF$6*$S19/$T$4*VLOOKUP($M19,CÁRNICOS!$CD$13:$CJ$48,3,FALSE),AF$5*$S19/$T$4*$AC$1)</f>
        <v>0</v>
      </c>
      <c r="AG19" s="2">
        <f>+IF($D19&lt;&gt;"",AG$6*$T19/$T$4*VLOOKUP($M19,CÁRNICOS!$CD$13:$CJ$48,3,FALSE),AG$5*$T19/$T$4*$AC$1)</f>
        <v>0</v>
      </c>
      <c r="AH19" s="120">
        <f>IF($F19&lt;&gt;"",0,SUM(AC19:AG19))</f>
        <v>0</v>
      </c>
      <c r="AI19" s="149">
        <f>+ROUNDUP(AH19/AI$4,0)</f>
        <v>0</v>
      </c>
      <c r="AJ19" s="120">
        <f>+IF(AH19*AI19=0,0,(ROUNDUP(AH19/AI19,3)))</f>
        <v>0</v>
      </c>
      <c r="AK19" s="2">
        <f>+IF($D19&lt;&gt;"",AK$6*$P19/$T$4*VLOOKUP($M19,CÁRNICOS!$CD$13:$CJ$48,4,FALSE),AK$5*$P19/$T$4*$AK$1)</f>
        <v>0</v>
      </c>
      <c r="AL19" s="2">
        <f>+IF($D19&lt;&gt;"",AL$6*$Q19/$T$4*VLOOKUP($M19,CÁRNICOS!$CD$13:$CJ$48,4,FALSE),AL$5*$Q19/$T$4*$AK$1)</f>
        <v>0</v>
      </c>
      <c r="AM19" s="2">
        <f>+IF($D19&lt;&gt;"",AM$6*$R19/$T$4*VLOOKUP($M19,CÁRNICOS!$CD$13:$CJ$48,4,FALSE),AM$5*$R19/$T$4*$AK$1)</f>
        <v>0</v>
      </c>
      <c r="AN19" s="2">
        <f>+IF($D19&lt;&gt;"",AN$6*$S19/$T$4*VLOOKUP($M19,CÁRNICOS!$CD$13:$CJ$48,4,FALSE),AN$5*$S19/$T$4*$AK$1)</f>
        <v>0</v>
      </c>
      <c r="AO19" s="2">
        <f>+IF($D19&lt;&gt;"",AO$6*$T19/$T$4*VLOOKUP($M19,CÁRNICOS!$CD$13:$CJ$48,4,FALSE),AO$5*$T19/$T$4*$AK$1)</f>
        <v>0</v>
      </c>
      <c r="AP19" s="120">
        <f>IF($G19&lt;&gt;"",0,SUM(AK19:AO19))</f>
        <v>0</v>
      </c>
      <c r="AQ19" s="149">
        <f>+ROUNDUP(AP19/AQ$4,0)</f>
        <v>0</v>
      </c>
      <c r="AR19" s="120">
        <f>+IF(AP19*AQ19=0,0,(ROUNDUP(AP19/AQ19,3)))</f>
        <v>0</v>
      </c>
      <c r="AS19" s="2">
        <f>+IF($D19&lt;&gt;"",AS$6*$P19/$T$4*VLOOKUP($M19,CÁRNICOS!$CD$13:$CJ$48,5,FALSE),AS$5*$P19/$T$4*$AS$1)</f>
        <v>0</v>
      </c>
      <c r="AT19" s="2">
        <f>+IF($D19&lt;&gt;"",AT$6*$Q19/$T$4*VLOOKUP($M19,CÁRNICOS!$CD$13:$CJ$48,5,FALSE),AT$5*$Q19/$T$4*$AS$1)</f>
        <v>0</v>
      </c>
      <c r="AU19" s="2">
        <f>+IF($D19&lt;&gt;"",AU$6*$R19/$T$4*VLOOKUP($M19,CÁRNICOS!$CD$13:$CJ$48,5,FALSE),AU$5*$R19/$T$4*$AS$1)</f>
        <v>0</v>
      </c>
      <c r="AV19" s="2">
        <f>+IF($D19&lt;&gt;"",AV$6*$S19/$T$4*VLOOKUP($M19,CÁRNICOS!$CD$13:$CJ$48,5,FALSE),AV$5*$S19/$T$4*$AS$1)</f>
        <v>4</v>
      </c>
      <c r="AW19" s="2">
        <f>+IF($D19&lt;&gt;"",AW$6*$T19/$T$4*VLOOKUP($M19,CÁRNICOS!$CD$13:$CJ$48,5,FALSE),AW$5*$T19/$T$4*$AS$1)</f>
        <v>1</v>
      </c>
      <c r="AX19" s="120">
        <f>IF($H19&lt;&gt;"",0,SUM(AS19:AW19))</f>
        <v>5</v>
      </c>
      <c r="AY19" s="149">
        <f>+ROUNDUP(AX19/AY$4,0)</f>
        <v>1</v>
      </c>
      <c r="AZ19" s="120">
        <f>+IF(AX19*AY19=0,0,(ROUNDUP(AX19/AY19,3)))</f>
        <v>5</v>
      </c>
      <c r="BA19" s="2">
        <f>+IF($D19&lt;&gt;"",BA$6*$P19/$T$4*VLOOKUP($M19,CÁRNICOS!$CD$13:$CJ$48,6,FALSE),BA$5*$P19/$T$4*$BA$1)</f>
        <v>0</v>
      </c>
      <c r="BB19" s="2">
        <f>+IF($D19&lt;&gt;"",BB$6*$Q19/$T$4*VLOOKUP($M19,CÁRNICOS!$CD$13:$CJ$48,6,FALSE),BB$5*$Q19/$T$4*$BA$1)</f>
        <v>0</v>
      </c>
      <c r="BC19" s="2">
        <f>+IF($D19&lt;&gt;"",BC$6*$R19/$T$4*VLOOKUP($M19,CÁRNICOS!$CD$13:$CJ$48,6,FALSE),BC$5*$R19/$T$4*$BA$1)</f>
        <v>0</v>
      </c>
      <c r="BD19" s="2">
        <f>+IF($D19&lt;&gt;"",BD$6*$S19/$T$4*VLOOKUP($M19,CÁRNICOS!$CD$13:$CJ$48,6,FALSE),BD$5*$S19/$T$4*$BA$1)</f>
        <v>0</v>
      </c>
      <c r="BE19" s="2">
        <f>+IF($D19&lt;&gt;"",BE$6*$T19/$T$4*VLOOKUP($M19,CÁRNICOS!$CD$13:$CJ$48,6,FALSE),BE$5*$T19/$T$4*$BA$1)</f>
        <v>0</v>
      </c>
      <c r="BF19" s="120">
        <f t="shared" si="2"/>
        <v>0</v>
      </c>
      <c r="BG19" s="149">
        <f t="shared" si="3"/>
        <v>0</v>
      </c>
      <c r="BH19" s="120">
        <f t="shared" si="4"/>
        <v>0</v>
      </c>
      <c r="BI19" s="2">
        <f>+IF($D19&lt;&gt;"",BI$6*$P19/$T$4*VLOOKUP($M19,CÁRNICOS!$CD$13:$CJ$48,7,FALSE),BI$5*$P19/$T$4*$BI$1)</f>
        <v>0</v>
      </c>
      <c r="BJ19" s="2">
        <f>+IF($D19&lt;&gt;"",BJ$6*$Q19/$T$4*VLOOKUP($M19,CÁRNICOS!$CD$13:$CJ$48,7,FALSE),BJ$5*$Q19/$T$4*$BI$1)</f>
        <v>0</v>
      </c>
      <c r="BK19" s="2">
        <f>+IF($D19&lt;&gt;"",BK$6*$R19/$T$4*VLOOKUP($M19,CÁRNICOS!$CD$13:$CJ$48,7,FALSE),BK$5*$R19/$T$4*$BI$1)</f>
        <v>0</v>
      </c>
      <c r="BL19" s="2">
        <f>+IF($D19&lt;&gt;"",BL$6*$S19/$T$4*VLOOKUP($M19,CÁRNICOS!$CD$13:$CJ$48,7,FALSE),BL$5*$S19/$T$4*$BI$1)</f>
        <v>0</v>
      </c>
      <c r="BM19" s="2">
        <f>+IF($D19&lt;&gt;"",BM$6*$T19/$T$4*VLOOKUP($M19,CÁRNICOS!$CD$13:$CJ$48,7,FALSE),BM$5*$T19/$T$4*$BI$1)</f>
        <v>0</v>
      </c>
      <c r="BN19" s="120">
        <f t="shared" si="5"/>
        <v>0</v>
      </c>
      <c r="BO19" s="149">
        <f t="shared" si="16"/>
        <v>0</v>
      </c>
      <c r="BP19" s="120">
        <f t="shared" si="17"/>
        <v>0</v>
      </c>
      <c r="BR19" s="74" t="str">
        <f t="shared" si="6"/>
        <v>U1</v>
      </c>
      <c r="BS19" s="74" t="str">
        <f t="shared" si="7"/>
        <v>CHINCHINÁ</v>
      </c>
      <c r="BT19" s="74" t="str">
        <f t="shared" si="8"/>
        <v>INSTITUCION EDUCATIVA BARTOLOME MITRE</v>
      </c>
      <c r="BU19" s="74" t="str">
        <f t="shared" si="9"/>
        <v>INSTITUCION EDUCATIVA BARTOLOME MITRE - SEDE PRINCIPAL</v>
      </c>
      <c r="BV19" s="74">
        <f t="shared" si="10"/>
        <v>0</v>
      </c>
      <c r="BW19" s="74">
        <f t="shared" si="11"/>
        <v>0</v>
      </c>
      <c r="BX19" s="74">
        <f t="shared" si="12"/>
        <v>0</v>
      </c>
      <c r="BY19" s="74">
        <f t="shared" si="13"/>
        <v>5</v>
      </c>
      <c r="BZ19" s="74">
        <f t="shared" si="14"/>
        <v>0</v>
      </c>
      <c r="CA19" s="74">
        <f t="shared" si="15"/>
        <v>0</v>
      </c>
      <c r="CD19" s="135" t="str">
        <f>+CONSOLIDADO!C18</f>
        <v>VICTORIA</v>
      </c>
      <c r="CE19" s="136">
        <f t="shared" si="18"/>
        <v>0</v>
      </c>
      <c r="CF19" s="136">
        <f t="shared" si="18"/>
        <v>0</v>
      </c>
      <c r="CG19" s="136">
        <f t="shared" si="18"/>
        <v>0</v>
      </c>
      <c r="CH19" s="136">
        <f t="shared" si="18"/>
        <v>1</v>
      </c>
      <c r="CI19" s="136">
        <f t="shared" si="18"/>
        <v>0</v>
      </c>
      <c r="CJ19" s="136">
        <f t="shared" si="18"/>
        <v>0</v>
      </c>
    </row>
    <row r="20" spans="1:88" ht="29.95" customHeight="1" x14ac:dyDescent="0.3">
      <c r="B20" s="46">
        <f>+B19+1</f>
        <v>2</v>
      </c>
      <c r="C20" s="14">
        <f>SUM(P20:T20)</f>
        <v>15</v>
      </c>
      <c r="D20" s="22" t="s">
        <v>73</v>
      </c>
      <c r="E20" s="124"/>
      <c r="F20" s="60"/>
      <c r="G20" s="60"/>
      <c r="H20" s="60"/>
      <c r="I20" s="60"/>
      <c r="J20" s="60"/>
      <c r="K20" s="59"/>
      <c r="L20" s="122">
        <v>1</v>
      </c>
      <c r="M20" s="164" t="s">
        <v>23</v>
      </c>
      <c r="N20" s="164" t="s">
        <v>193</v>
      </c>
      <c r="O20" s="165" t="s">
        <v>194</v>
      </c>
      <c r="P20" s="166">
        <v>15</v>
      </c>
      <c r="Q20" s="166">
        <v>0</v>
      </c>
      <c r="R20" s="167">
        <v>0</v>
      </c>
      <c r="S20" s="74">
        <v>0</v>
      </c>
      <c r="T20" s="74">
        <v>0</v>
      </c>
      <c r="U20" s="2">
        <f>+IF($D20&lt;&gt;"",U$6*$P20/$T$4*VLOOKUP($M20,CÁRNICOS!$CD$13:$CJ$48,2,FALSE),U$5*$P20/$T$4*$U$1)</f>
        <v>0</v>
      </c>
      <c r="V20" s="2">
        <f>+IF($D20&lt;&gt;"",V$6*$Q20/$T$4*VLOOKUP($M20,CÁRNICOS!$CD$13:$CJ$48,2,FALSE),V$5*$Q20/$T$4*$U$1)</f>
        <v>0</v>
      </c>
      <c r="W20" s="2">
        <f>+IF($D20&lt;&gt;"",W$6*$R20/$T$4*VLOOKUP($M20,CÁRNICOS!$CD$13:$CJ$48,2,FALSE),W$5*$R20/$T$4*$U$1)</f>
        <v>0</v>
      </c>
      <c r="X20" s="2">
        <f>+IF($D20&lt;&gt;"",X$6*$S20/$T$4*VLOOKUP($M20,CÁRNICOS!$CD$13:$CJ$48,2,FALSE),X$5*$S20/$T$4*$U$1)</f>
        <v>0</v>
      </c>
      <c r="Y20" s="2">
        <f>+IF($D20&lt;&gt;"",Y$6*$T20/$T$4*VLOOKUP($M20,CÁRNICOS!$CD$13:$CJ$48,2,FALSE),Y$5*$T20/$T$4*$U$1)</f>
        <v>0</v>
      </c>
      <c r="Z20" s="146">
        <f>IF($E20&lt;&gt;"",0,SUM(U20:Y20))</f>
        <v>0</v>
      </c>
      <c r="AA20" s="149">
        <f>+ROUNDUP(Z20/AA$4,0)</f>
        <v>0</v>
      </c>
      <c r="AB20" s="120">
        <f>+IF(Z20*AA20=0,0,(ROUNDUP(Z20/AA20,3)))</f>
        <v>0</v>
      </c>
      <c r="AC20" s="147">
        <f>+IF($D20&lt;&gt;"",AC$6*$P20/$T$4*VLOOKUP($M20,CÁRNICOS!$CD$13:$CJ$48,3,FALSE),AC$5*$P20/$T$4*$AC$1)</f>
        <v>0</v>
      </c>
      <c r="AD20" s="147">
        <f>+IF($D20&lt;&gt;"",AD$6*$Q20/$T$4*VLOOKUP($M20,CÁRNICOS!$CD$13:$CJ$48,3,FALSE),AD$5*$Q20/$T$4*$AC$1)</f>
        <v>0</v>
      </c>
      <c r="AE20" s="2">
        <f>+IF($D20&lt;&gt;"",AE$6*$R20/$T$4*VLOOKUP($M20,CÁRNICOS!$CD$13:$CJ$48,3,FALSE),AE$5*$R20/$T$4*$AC$1)</f>
        <v>0</v>
      </c>
      <c r="AF20" s="2">
        <f>+IF($D20&lt;&gt;"",AF$6*$S20/$T$4*VLOOKUP($M20,CÁRNICOS!$CD$13:$CJ$48,3,FALSE),AF$5*$S20/$T$4*$AC$1)</f>
        <v>0</v>
      </c>
      <c r="AG20" s="2">
        <f>+IF($D20&lt;&gt;"",AG$6*$T20/$T$4*VLOOKUP($M20,CÁRNICOS!$CD$13:$CJ$48,3,FALSE),AG$5*$T20/$T$4*$AC$1)</f>
        <v>0</v>
      </c>
      <c r="AH20" s="120">
        <f>IF($F20&lt;&gt;"",0,SUM(AC20:AG20))</f>
        <v>0</v>
      </c>
      <c r="AI20" s="149">
        <f>+ROUNDUP(AH20/AI$4,0)</f>
        <v>0</v>
      </c>
      <c r="AJ20" s="120">
        <f>+IF(AH20*AI20=0,0,(ROUNDUP(AH20/AI20,3)))</f>
        <v>0</v>
      </c>
      <c r="AK20" s="2">
        <f>+IF($D20&lt;&gt;"",AK$6*$P20/$T$4*VLOOKUP($M20,CÁRNICOS!$CD$13:$CJ$48,4,FALSE),AK$5*$P20/$T$4*$AK$1)</f>
        <v>0</v>
      </c>
      <c r="AL20" s="2">
        <f>+IF($D20&lt;&gt;"",AL$6*$Q20/$T$4*VLOOKUP($M20,CÁRNICOS!$CD$13:$CJ$48,4,FALSE),AL$5*$Q20/$T$4*$AK$1)</f>
        <v>0</v>
      </c>
      <c r="AM20" s="2">
        <f>+IF($D20&lt;&gt;"",AM$6*$R20/$T$4*VLOOKUP($M20,CÁRNICOS!$CD$13:$CJ$48,4,FALSE),AM$5*$R20/$T$4*$AK$1)</f>
        <v>0</v>
      </c>
      <c r="AN20" s="2">
        <f>+IF($D20&lt;&gt;"",AN$6*$S20/$T$4*VLOOKUP($M20,CÁRNICOS!$CD$13:$CJ$48,4,FALSE),AN$5*$S20/$T$4*$AK$1)</f>
        <v>0</v>
      </c>
      <c r="AO20" s="2">
        <f>+IF($D20&lt;&gt;"",AO$6*$T20/$T$4*VLOOKUP($M20,CÁRNICOS!$CD$13:$CJ$48,4,FALSE),AO$5*$T20/$T$4*$AK$1)</f>
        <v>0</v>
      </c>
      <c r="AP20" s="120">
        <f>IF($G20&lt;&gt;"",0,SUM(AK20:AO20))</f>
        <v>0</v>
      </c>
      <c r="AQ20" s="149">
        <f>+ROUNDUP(AP20/AQ$4,0)</f>
        <v>0</v>
      </c>
      <c r="AR20" s="120">
        <f>+IF(AP20*AQ20=0,0,(ROUNDUP(AP20/AQ20,3)))</f>
        <v>0</v>
      </c>
      <c r="AS20" s="2">
        <f>+IF($D20&lt;&gt;"",AS$6*$P20/$T$4*VLOOKUP($M20,CÁRNICOS!$CD$13:$CJ$48,5,FALSE),AS$5*$P20/$T$4*$AS$1)</f>
        <v>0.81</v>
      </c>
      <c r="AT20" s="2">
        <f>+IF($D20&lt;&gt;"",AT$6*$Q20/$T$4*VLOOKUP($M20,CÁRNICOS!$CD$13:$CJ$48,5,FALSE),AT$5*$Q20/$T$4*$AS$1)</f>
        <v>0</v>
      </c>
      <c r="AU20" s="2">
        <f>+IF($D20&lt;&gt;"",AU$6*$R20/$T$4*VLOOKUP($M20,CÁRNICOS!$CD$13:$CJ$48,5,FALSE),AU$5*$R20/$T$4*$AS$1)</f>
        <v>0</v>
      </c>
      <c r="AV20" s="2">
        <f>+IF($D20&lt;&gt;"",AV$6*$S20/$T$4*VLOOKUP($M20,CÁRNICOS!$CD$13:$CJ$48,5,FALSE),AV$5*$S20/$T$4*$AS$1)</f>
        <v>0</v>
      </c>
      <c r="AW20" s="2">
        <f>+IF($D20&lt;&gt;"",AW$6*$T20/$T$4*VLOOKUP($M20,CÁRNICOS!$CD$13:$CJ$48,5,FALSE),AW$5*$T20/$T$4*$AS$1)</f>
        <v>0</v>
      </c>
      <c r="AX20" s="120">
        <f>IF($H20&lt;&gt;"",0,SUM(AS20:AW20))</f>
        <v>0.81</v>
      </c>
      <c r="AY20" s="149">
        <f>+ROUNDUP(AX20/AY$4,0)</f>
        <v>1</v>
      </c>
      <c r="AZ20" s="120">
        <f>+IF(AX20*AY20=0,0,(ROUNDUP(AX20/AY20,3)))</f>
        <v>0.81</v>
      </c>
      <c r="BA20" s="2">
        <f>+IF($D20&lt;&gt;"",BA$6*$P20/$T$4*VLOOKUP($M20,CÁRNICOS!$CD$13:$CJ$48,6,FALSE),BA$5*$P20/$T$4*$BA$1)</f>
        <v>0</v>
      </c>
      <c r="BB20" s="2">
        <f>+IF($D20&lt;&gt;"",BB$6*$Q20/$T$4*VLOOKUP($M20,CÁRNICOS!$CD$13:$CJ$48,6,FALSE),BB$5*$Q20/$T$4*$BA$1)</f>
        <v>0</v>
      </c>
      <c r="BC20" s="2">
        <f>+IF($D20&lt;&gt;"",BC$6*$R20/$T$4*VLOOKUP($M20,CÁRNICOS!$CD$13:$CJ$48,6,FALSE),BC$5*$R20/$T$4*$BA$1)</f>
        <v>0</v>
      </c>
      <c r="BD20" s="2">
        <f>+IF($D20&lt;&gt;"",BD$6*$S20/$T$4*VLOOKUP($M20,CÁRNICOS!$CD$13:$CJ$48,6,FALSE),BD$5*$S20/$T$4*$BA$1)</f>
        <v>0</v>
      </c>
      <c r="BE20" s="2">
        <f>+IF($D20&lt;&gt;"",BE$6*$T20/$T$4*VLOOKUP($M20,CÁRNICOS!$CD$13:$CJ$48,6,FALSE),BE$5*$T20/$T$4*$BA$1)</f>
        <v>0</v>
      </c>
      <c r="BF20" s="120">
        <f t="shared" si="2"/>
        <v>0</v>
      </c>
      <c r="BG20" s="149">
        <f t="shared" si="3"/>
        <v>0</v>
      </c>
      <c r="BH20" s="120">
        <f t="shared" si="4"/>
        <v>0</v>
      </c>
      <c r="BI20" s="2">
        <f>+IF($D20&lt;&gt;"",BI$6*$P20/$T$4*VLOOKUP($M20,CÁRNICOS!$CD$13:$CJ$48,7,FALSE),BI$5*$P20/$T$4*$BI$1)</f>
        <v>0</v>
      </c>
      <c r="BJ20" s="2">
        <f>+IF($D20&lt;&gt;"",BJ$6*$Q20/$T$4*VLOOKUP($M20,CÁRNICOS!$CD$13:$CJ$48,7,FALSE),BJ$5*$Q20/$T$4*$BI$1)</f>
        <v>0</v>
      </c>
      <c r="BK20" s="2">
        <f>+IF($D20&lt;&gt;"",BK$6*$R20/$T$4*VLOOKUP($M20,CÁRNICOS!$CD$13:$CJ$48,7,FALSE),BK$5*$R20/$T$4*$BI$1)</f>
        <v>0</v>
      </c>
      <c r="BL20" s="2">
        <f>+IF($D20&lt;&gt;"",BL$6*$S20/$T$4*VLOOKUP($M20,CÁRNICOS!$CD$13:$CJ$48,7,FALSE),BL$5*$S20/$T$4*$BI$1)</f>
        <v>0</v>
      </c>
      <c r="BM20" s="2">
        <f>+IF($D20&lt;&gt;"",BM$6*$T20/$T$4*VLOOKUP($M20,CÁRNICOS!$CD$13:$CJ$48,7,FALSE),BM$5*$T20/$T$4*$BI$1)</f>
        <v>0</v>
      </c>
      <c r="BN20" s="120">
        <f t="shared" si="5"/>
        <v>0</v>
      </c>
      <c r="BO20" s="149">
        <f t="shared" si="16"/>
        <v>0</v>
      </c>
      <c r="BP20" s="120">
        <f t="shared" si="17"/>
        <v>0</v>
      </c>
      <c r="BR20" s="74">
        <f t="shared" si="6"/>
        <v>1</v>
      </c>
      <c r="BS20" s="74" t="str">
        <f t="shared" si="7"/>
        <v>LA DORADA</v>
      </c>
      <c r="BT20" s="74" t="str">
        <f t="shared" si="8"/>
        <v>INSTITUCION EDUCATIVA GUARINOCITO</v>
      </c>
      <c r="BU20" s="74" t="str">
        <f t="shared" si="9"/>
        <v>INSTITUCION EDUCATIVA GUARINOCITO - SEDE PRINCIPAL</v>
      </c>
      <c r="BV20" s="74">
        <f t="shared" si="10"/>
        <v>0</v>
      </c>
      <c r="BW20" s="74">
        <f t="shared" si="11"/>
        <v>0</v>
      </c>
      <c r="BX20" s="74">
        <f t="shared" si="12"/>
        <v>0</v>
      </c>
      <c r="BY20" s="74">
        <f t="shared" si="13"/>
        <v>0.81</v>
      </c>
      <c r="BZ20" s="74">
        <f t="shared" si="14"/>
        <v>0</v>
      </c>
      <c r="CA20" s="74">
        <f t="shared" si="15"/>
        <v>0</v>
      </c>
      <c r="CD20" s="135" t="str">
        <f>+CONSOLIDADO!C19</f>
        <v>PENSILVANIA</v>
      </c>
      <c r="CE20" s="136">
        <f t="shared" si="18"/>
        <v>0</v>
      </c>
      <c r="CF20" s="136">
        <f t="shared" si="18"/>
        <v>0</v>
      </c>
      <c r="CG20" s="136">
        <f t="shared" si="18"/>
        <v>0</v>
      </c>
      <c r="CH20" s="136">
        <f t="shared" si="18"/>
        <v>1</v>
      </c>
      <c r="CI20" s="136">
        <f t="shared" si="18"/>
        <v>0</v>
      </c>
      <c r="CJ20" s="136">
        <f t="shared" si="18"/>
        <v>0</v>
      </c>
    </row>
    <row r="21" spans="1:88" ht="29.95" customHeight="1" x14ac:dyDescent="0.3">
      <c r="B21" s="46">
        <f>+B20+1</f>
        <v>3</v>
      </c>
      <c r="C21" s="14">
        <f>SUM(P21:T21)</f>
        <v>302</v>
      </c>
      <c r="D21" s="22" t="s">
        <v>73</v>
      </c>
      <c r="E21" s="124"/>
      <c r="F21" s="60"/>
      <c r="G21" s="60"/>
      <c r="H21" s="60"/>
      <c r="I21" s="60"/>
      <c r="J21" s="60"/>
      <c r="K21" s="59"/>
      <c r="L21" s="122">
        <v>4</v>
      </c>
      <c r="M21" s="164" t="s">
        <v>23</v>
      </c>
      <c r="N21" s="164" t="s">
        <v>195</v>
      </c>
      <c r="O21" s="165" t="s">
        <v>196</v>
      </c>
      <c r="P21" s="166">
        <v>1</v>
      </c>
      <c r="Q21" s="166">
        <v>301</v>
      </c>
      <c r="R21" s="167">
        <v>0</v>
      </c>
      <c r="S21" s="74">
        <v>0</v>
      </c>
      <c r="T21" s="74">
        <v>0</v>
      </c>
      <c r="U21" s="2">
        <f>+IF($D21&lt;&gt;"",U$6*$P21/$T$4*VLOOKUP($M21,CÁRNICOS!$CD$13:$CJ$48,2,FALSE),U$5*$P21/$T$4*$U$1)</f>
        <v>0</v>
      </c>
      <c r="V21" s="2">
        <f>+IF($D21&lt;&gt;"",V$6*$Q21/$T$4*VLOOKUP($M21,CÁRNICOS!$CD$13:$CJ$48,2,FALSE),V$5*$Q21/$T$4*$U$1)</f>
        <v>0</v>
      </c>
      <c r="W21" s="2">
        <f>+IF($D21&lt;&gt;"",W$6*$R21/$T$4*VLOOKUP($M21,CÁRNICOS!$CD$13:$CJ$48,2,FALSE),W$5*$R21/$T$4*$U$1)</f>
        <v>0</v>
      </c>
      <c r="X21" s="2">
        <f>+IF($D21&lt;&gt;"",X$6*$S21/$T$4*VLOOKUP($M21,CÁRNICOS!$CD$13:$CJ$48,2,FALSE),X$5*$S21/$T$4*$U$1)</f>
        <v>0</v>
      </c>
      <c r="Y21" s="2">
        <f>+IF($D21&lt;&gt;"",Y$6*$T21/$T$4*VLOOKUP($M21,CÁRNICOS!$CD$13:$CJ$48,2,FALSE),Y$5*$T21/$T$4*$U$1)</f>
        <v>0</v>
      </c>
      <c r="Z21" s="146">
        <f>IF($E21&lt;&gt;"",0,SUM(U21:Y21))</f>
        <v>0</v>
      </c>
      <c r="AA21" s="149">
        <f>+ROUNDUP(Z21/AA$4,0)</f>
        <v>0</v>
      </c>
      <c r="AB21" s="120">
        <f>+IF(Z21*AA21=0,0,(ROUNDUP(Z21/AA21,3)))</f>
        <v>0</v>
      </c>
      <c r="AC21" s="147">
        <f>+IF($D21&lt;&gt;"",AC$6*$P21/$T$4*VLOOKUP($M21,CÁRNICOS!$CD$13:$CJ$48,3,FALSE),AC$5*$P21/$T$4*$AC$1)</f>
        <v>0</v>
      </c>
      <c r="AD21" s="147">
        <f>+IF($D21&lt;&gt;"",AD$6*$Q21/$T$4*VLOOKUP($M21,CÁRNICOS!$CD$13:$CJ$48,3,FALSE),AD$5*$Q21/$T$4*$AC$1)</f>
        <v>0</v>
      </c>
      <c r="AE21" s="2">
        <f>+IF($D21&lt;&gt;"",AE$6*$R21/$T$4*VLOOKUP($M21,CÁRNICOS!$CD$13:$CJ$48,3,FALSE),AE$5*$R21/$T$4*$AC$1)</f>
        <v>0</v>
      </c>
      <c r="AF21" s="2">
        <f>+IF($D21&lt;&gt;"",AF$6*$S21/$T$4*VLOOKUP($M21,CÁRNICOS!$CD$13:$CJ$48,3,FALSE),AF$5*$S21/$T$4*$AC$1)</f>
        <v>0</v>
      </c>
      <c r="AG21" s="2">
        <f>+IF($D21&lt;&gt;"",AG$6*$T21/$T$4*VLOOKUP($M21,CÁRNICOS!$CD$13:$CJ$48,3,FALSE),AG$5*$T21/$T$4*$AC$1)</f>
        <v>0</v>
      </c>
      <c r="AH21" s="120">
        <f>IF($F21&lt;&gt;"",0,SUM(AC21:AG21))</f>
        <v>0</v>
      </c>
      <c r="AI21" s="149">
        <f>+ROUNDUP(AH21/AI$4,0)</f>
        <v>0</v>
      </c>
      <c r="AJ21" s="120">
        <f>+IF(AH21*AI21=0,0,(ROUNDUP(AH21/AI21,3)))</f>
        <v>0</v>
      </c>
      <c r="AK21" s="2">
        <f>+IF($D21&lt;&gt;"",AK$6*$P21/$T$4*VLOOKUP($M21,CÁRNICOS!$CD$13:$CJ$48,4,FALSE),AK$5*$P21/$T$4*$AK$1)</f>
        <v>0</v>
      </c>
      <c r="AL21" s="2">
        <f>+IF($D21&lt;&gt;"",AL$6*$Q21/$T$4*VLOOKUP($M21,CÁRNICOS!$CD$13:$CJ$48,4,FALSE),AL$5*$Q21/$T$4*$AK$1)</f>
        <v>0</v>
      </c>
      <c r="AM21" s="2">
        <f>+IF($D21&lt;&gt;"",AM$6*$R21/$T$4*VLOOKUP($M21,CÁRNICOS!$CD$13:$CJ$48,4,FALSE),AM$5*$R21/$T$4*$AK$1)</f>
        <v>0</v>
      </c>
      <c r="AN21" s="2">
        <f>+IF($D21&lt;&gt;"",AN$6*$S21/$T$4*VLOOKUP($M21,CÁRNICOS!$CD$13:$CJ$48,4,FALSE),AN$5*$S21/$T$4*$AK$1)</f>
        <v>0</v>
      </c>
      <c r="AO21" s="2">
        <f>+IF($D21&lt;&gt;"",AO$6*$T21/$T$4*VLOOKUP($M21,CÁRNICOS!$CD$13:$CJ$48,4,FALSE),AO$5*$T21/$T$4*$AK$1)</f>
        <v>0</v>
      </c>
      <c r="AP21" s="120">
        <f>IF($G21&lt;&gt;"",0,SUM(AK21:AO21))</f>
        <v>0</v>
      </c>
      <c r="AQ21" s="149">
        <f>+ROUNDUP(AP21/AQ$4,0)</f>
        <v>0</v>
      </c>
      <c r="AR21" s="120">
        <f>+IF(AP21*AQ21=0,0,(ROUNDUP(AP21/AQ21,3)))</f>
        <v>0</v>
      </c>
      <c r="AS21" s="2">
        <f>+IF($D21&lt;&gt;"",AS$6*$P21/$T$4*VLOOKUP($M21,CÁRNICOS!$CD$13:$CJ$48,5,FALSE),AS$5*$P21/$T$4*$AS$1)</f>
        <v>5.3999999999999999E-2</v>
      </c>
      <c r="AT21" s="2">
        <f>+IF($D21&lt;&gt;"",AT$6*$Q21/$T$4*VLOOKUP($M21,CÁRNICOS!$CD$13:$CJ$48,5,FALSE),AT$5*$Q21/$T$4*$AS$1)</f>
        <v>16.254000000000001</v>
      </c>
      <c r="AU21" s="2">
        <f>+IF($D21&lt;&gt;"",AU$6*$R21/$T$4*VLOOKUP($M21,CÁRNICOS!$CD$13:$CJ$48,5,FALSE),AU$5*$R21/$T$4*$AS$1)</f>
        <v>0</v>
      </c>
      <c r="AV21" s="2">
        <f>+IF($D21&lt;&gt;"",AV$6*$S21/$T$4*VLOOKUP($M21,CÁRNICOS!$CD$13:$CJ$48,5,FALSE),AV$5*$S21/$T$4*$AS$1)</f>
        <v>0</v>
      </c>
      <c r="AW21" s="2">
        <f>+IF($D21&lt;&gt;"",AW$6*$T21/$T$4*VLOOKUP($M21,CÁRNICOS!$CD$13:$CJ$48,5,FALSE),AW$5*$T21/$T$4*$AS$1)</f>
        <v>0</v>
      </c>
      <c r="AX21" s="120">
        <f>IF($H21&lt;&gt;"",0,SUM(AS21:AW21))</f>
        <v>16.308</v>
      </c>
      <c r="AY21" s="149">
        <f>+ROUNDUP(AX21/AY$4,0)</f>
        <v>2</v>
      </c>
      <c r="AZ21" s="120">
        <f>+IF(AX21*AY21=0,0,(ROUNDUP(AX21/AY21,3)))</f>
        <v>8.1539999999999999</v>
      </c>
      <c r="BA21" s="2">
        <f>+IF($D21&lt;&gt;"",BA$6*$P21/$T$4*VLOOKUP($M21,CÁRNICOS!$CD$13:$CJ$48,6,FALSE),BA$5*$P21/$T$4*$BA$1)</f>
        <v>0</v>
      </c>
      <c r="BB21" s="2">
        <f>+IF($D21&lt;&gt;"",BB$6*$Q21/$T$4*VLOOKUP($M21,CÁRNICOS!$CD$13:$CJ$48,6,FALSE),BB$5*$Q21/$T$4*$BA$1)</f>
        <v>0</v>
      </c>
      <c r="BC21" s="2">
        <f>+IF($D21&lt;&gt;"",BC$6*$R21/$T$4*VLOOKUP($M21,CÁRNICOS!$CD$13:$CJ$48,6,FALSE),BC$5*$R21/$T$4*$BA$1)</f>
        <v>0</v>
      </c>
      <c r="BD21" s="2">
        <f>+IF($D21&lt;&gt;"",BD$6*$S21/$T$4*VLOOKUP($M21,CÁRNICOS!$CD$13:$CJ$48,6,FALSE),BD$5*$S21/$T$4*$BA$1)</f>
        <v>0</v>
      </c>
      <c r="BE21" s="2">
        <f>+IF($D21&lt;&gt;"",BE$6*$T21/$T$4*VLOOKUP($M21,CÁRNICOS!$CD$13:$CJ$48,6,FALSE),BE$5*$T21/$T$4*$BA$1)</f>
        <v>0</v>
      </c>
      <c r="BF21" s="120">
        <f t="shared" si="2"/>
        <v>0</v>
      </c>
      <c r="BG21" s="149">
        <f t="shared" si="3"/>
        <v>0</v>
      </c>
      <c r="BH21" s="120">
        <f t="shared" si="4"/>
        <v>0</v>
      </c>
      <c r="BI21" s="2">
        <f>+IF($D21&lt;&gt;"",BI$6*$P21/$T$4*VLOOKUP($M21,CÁRNICOS!$CD$13:$CJ$48,7,FALSE),BI$5*$P21/$T$4*$BI$1)</f>
        <v>0</v>
      </c>
      <c r="BJ21" s="2">
        <f>+IF($D21&lt;&gt;"",BJ$6*$Q21/$T$4*VLOOKUP($M21,CÁRNICOS!$CD$13:$CJ$48,7,FALSE),BJ$5*$Q21/$T$4*$BI$1)</f>
        <v>0</v>
      </c>
      <c r="BK21" s="2">
        <f>+IF($D21&lt;&gt;"",BK$6*$R21/$T$4*VLOOKUP($M21,CÁRNICOS!$CD$13:$CJ$48,7,FALSE),BK$5*$R21/$T$4*$BI$1)</f>
        <v>0</v>
      </c>
      <c r="BL21" s="2">
        <f>+IF($D21&lt;&gt;"",BL$6*$S21/$T$4*VLOOKUP($M21,CÁRNICOS!$CD$13:$CJ$48,7,FALSE),BL$5*$S21/$T$4*$BI$1)</f>
        <v>0</v>
      </c>
      <c r="BM21" s="2">
        <f>+IF($D21&lt;&gt;"",BM$6*$T21/$T$4*VLOOKUP($M21,CÁRNICOS!$CD$13:$CJ$48,7,FALSE),BM$5*$T21/$T$4*$BI$1)</f>
        <v>0</v>
      </c>
      <c r="BN21" s="120">
        <f t="shared" si="5"/>
        <v>0</v>
      </c>
      <c r="BO21" s="149">
        <f t="shared" si="16"/>
        <v>0</v>
      </c>
      <c r="BP21" s="120">
        <f t="shared" si="17"/>
        <v>0</v>
      </c>
      <c r="BQ21" s="6" t="s">
        <v>85</v>
      </c>
      <c r="BR21" s="74">
        <f t="shared" si="6"/>
        <v>4</v>
      </c>
      <c r="BS21" s="74" t="str">
        <f t="shared" si="7"/>
        <v>LA DORADA</v>
      </c>
      <c r="BT21" s="74" t="str">
        <f t="shared" si="8"/>
        <v>INSTITUCION EDUCATIVA MARCO FIDEL SUAREZ</v>
      </c>
      <c r="BU21" s="74" t="str">
        <f t="shared" si="9"/>
        <v>INSTITUCION EDUCATIVA MARCO FIDEL SUAREZ - SEDE PRINCIPAL</v>
      </c>
      <c r="BV21" s="74">
        <f t="shared" si="10"/>
        <v>0</v>
      </c>
      <c r="BW21" s="74">
        <f t="shared" si="11"/>
        <v>0</v>
      </c>
      <c r="BX21" s="74">
        <f t="shared" si="12"/>
        <v>0</v>
      </c>
      <c r="BY21" s="74">
        <f t="shared" si="13"/>
        <v>16.308</v>
      </c>
      <c r="BZ21" s="74">
        <f t="shared" si="14"/>
        <v>0</v>
      </c>
      <c r="CA21" s="74">
        <f t="shared" si="15"/>
        <v>0</v>
      </c>
      <c r="CD21" s="135" t="str">
        <f>+CONSOLIDADO!C20</f>
        <v>MANZANARES</v>
      </c>
      <c r="CE21" s="136">
        <f t="shared" si="18"/>
        <v>0</v>
      </c>
      <c r="CF21" s="136">
        <f t="shared" si="18"/>
        <v>0</v>
      </c>
      <c r="CG21" s="136">
        <f t="shared" si="18"/>
        <v>0</v>
      </c>
      <c r="CH21" s="136">
        <f t="shared" si="18"/>
        <v>1</v>
      </c>
      <c r="CI21" s="136">
        <f t="shared" si="18"/>
        <v>0</v>
      </c>
      <c r="CJ21" s="136">
        <f t="shared" si="18"/>
        <v>0</v>
      </c>
    </row>
    <row r="22" spans="1:88" ht="29.95" customHeight="1" x14ac:dyDescent="0.3">
      <c r="B22" s="46">
        <f>+COUNTIF($M$8:M22,M22)</f>
        <v>3</v>
      </c>
      <c r="C22" s="14">
        <f>SUM(P22:T22)</f>
        <v>229</v>
      </c>
      <c r="D22" s="22" t="s">
        <v>73</v>
      </c>
      <c r="E22" s="124"/>
      <c r="F22" s="60"/>
      <c r="G22" s="60"/>
      <c r="H22" s="60"/>
      <c r="I22" s="60"/>
      <c r="J22" s="60"/>
      <c r="K22" s="59"/>
      <c r="L22" s="122">
        <v>4</v>
      </c>
      <c r="M22" s="164" t="s">
        <v>23</v>
      </c>
      <c r="N22" s="164" t="s">
        <v>203</v>
      </c>
      <c r="O22" s="165" t="s">
        <v>204</v>
      </c>
      <c r="P22" s="166">
        <v>59</v>
      </c>
      <c r="Q22" s="166">
        <v>170</v>
      </c>
      <c r="R22" s="167">
        <v>0</v>
      </c>
      <c r="S22" s="74">
        <v>0</v>
      </c>
      <c r="T22" s="74">
        <v>0</v>
      </c>
      <c r="U22" s="2">
        <f>+IF($D22&lt;&gt;"",U$6*$P22/$T$4*VLOOKUP($M22,CÁRNICOS!$CD$13:$CJ$48,2,FALSE),U$5*$P22/$T$4*$U$1)</f>
        <v>0</v>
      </c>
      <c r="V22" s="2">
        <f>+IF($D22&lt;&gt;"",V$6*$Q22/$T$4*VLOOKUP($M22,CÁRNICOS!$CD$13:$CJ$48,2,FALSE),V$5*$Q22/$T$4*$U$1)</f>
        <v>0</v>
      </c>
      <c r="W22" s="2">
        <f>+IF($D22&lt;&gt;"",W$6*$R22/$T$4*VLOOKUP($M22,CÁRNICOS!$CD$13:$CJ$48,2,FALSE),W$5*$R22/$T$4*$U$1)</f>
        <v>0</v>
      </c>
      <c r="X22" s="2">
        <f>+IF($D22&lt;&gt;"",X$6*$S22/$T$4*VLOOKUP($M22,CÁRNICOS!$CD$13:$CJ$48,2,FALSE),X$5*$S22/$T$4*$U$1)</f>
        <v>0</v>
      </c>
      <c r="Y22" s="2">
        <f>+IF($D22&lt;&gt;"",Y$6*$T22/$T$4*VLOOKUP($M22,CÁRNICOS!$CD$13:$CJ$48,2,FALSE),Y$5*$T22/$T$4*$U$1)</f>
        <v>0</v>
      </c>
      <c r="Z22" s="146">
        <f>IF($E22&lt;&gt;"",0,SUM(U22:Y22))</f>
        <v>0</v>
      </c>
      <c r="AA22" s="149">
        <f>+ROUNDUP(Z22/AA$4,0)</f>
        <v>0</v>
      </c>
      <c r="AB22" s="120">
        <f>+IF(Z22*AA22=0,0,(ROUNDUP(Z22/AA22,3)))</f>
        <v>0</v>
      </c>
      <c r="AC22" s="147">
        <f>+IF($D22&lt;&gt;"",AC$6*$P22/$T$4*VLOOKUP($M22,CÁRNICOS!$CD$13:$CJ$48,3,FALSE),AC$5*$P22/$T$4*$AC$1)</f>
        <v>0</v>
      </c>
      <c r="AD22" s="147">
        <f>+IF($D22&lt;&gt;"",AD$6*$Q22/$T$4*VLOOKUP($M22,CÁRNICOS!$CD$13:$CJ$48,3,FALSE),AD$5*$Q22/$T$4*$AC$1)</f>
        <v>0</v>
      </c>
      <c r="AE22" s="2">
        <f>+IF($D22&lt;&gt;"",AE$6*$R22/$T$4*VLOOKUP($M22,CÁRNICOS!$CD$13:$CJ$48,3,FALSE),AE$5*$R22/$T$4*$AC$1)</f>
        <v>0</v>
      </c>
      <c r="AF22" s="2">
        <f>+IF($D22&lt;&gt;"",AF$6*$S22/$T$4*VLOOKUP($M22,CÁRNICOS!$CD$13:$CJ$48,3,FALSE),AF$5*$S22/$T$4*$AC$1)</f>
        <v>0</v>
      </c>
      <c r="AG22" s="2">
        <f>+IF($D22&lt;&gt;"",AG$6*$T22/$T$4*VLOOKUP($M22,CÁRNICOS!$CD$13:$CJ$48,3,FALSE),AG$5*$T22/$T$4*$AC$1)</f>
        <v>0</v>
      </c>
      <c r="AH22" s="120">
        <f>IF($F22&lt;&gt;"",0,SUM(AC22:AG22))</f>
        <v>0</v>
      </c>
      <c r="AI22" s="149">
        <f>+ROUNDUP(AH22/AI$4,0)</f>
        <v>0</v>
      </c>
      <c r="AJ22" s="120">
        <f>+IF(AH22*AI22=0,0,(ROUNDUP(AH22/AI22,3)))</f>
        <v>0</v>
      </c>
      <c r="AK22" s="2">
        <f>+IF($D22&lt;&gt;"",AK$6*$P22/$T$4*VLOOKUP($M22,CÁRNICOS!$CD$13:$CJ$48,4,FALSE),AK$5*$P22/$T$4*$AK$1)</f>
        <v>0</v>
      </c>
      <c r="AL22" s="2">
        <f>+IF($D22&lt;&gt;"",AL$6*$Q22/$T$4*VLOOKUP($M22,CÁRNICOS!$CD$13:$CJ$48,4,FALSE),AL$5*$Q22/$T$4*$AK$1)</f>
        <v>0</v>
      </c>
      <c r="AM22" s="2">
        <f>+IF($D22&lt;&gt;"",AM$6*$R22/$T$4*VLOOKUP($M22,CÁRNICOS!$CD$13:$CJ$48,4,FALSE),AM$5*$R22/$T$4*$AK$1)</f>
        <v>0</v>
      </c>
      <c r="AN22" s="2">
        <f>+IF($D22&lt;&gt;"",AN$6*$S22/$T$4*VLOOKUP($M22,CÁRNICOS!$CD$13:$CJ$48,4,FALSE),AN$5*$S22/$T$4*$AK$1)</f>
        <v>0</v>
      </c>
      <c r="AO22" s="2">
        <f>+IF($D22&lt;&gt;"",AO$6*$T22/$T$4*VLOOKUP($M22,CÁRNICOS!$CD$13:$CJ$48,4,FALSE),AO$5*$T22/$T$4*$AK$1)</f>
        <v>0</v>
      </c>
      <c r="AP22" s="120">
        <f>IF($G22&lt;&gt;"",0,SUM(AK22:AO22))</f>
        <v>0</v>
      </c>
      <c r="AQ22" s="149">
        <f>+ROUNDUP(AP22/AQ$4,0)</f>
        <v>0</v>
      </c>
      <c r="AR22" s="120">
        <f>+IF(AP22*AQ22=0,0,(ROUNDUP(AP22/AQ22,3)))</f>
        <v>0</v>
      </c>
      <c r="AS22" s="2">
        <f>+IF($D22&lt;&gt;"",AS$6*$P22/$T$4*VLOOKUP($M22,CÁRNICOS!$CD$13:$CJ$48,5,FALSE),AS$5*$P22/$T$4*$AS$1)</f>
        <v>3.1859999999999999</v>
      </c>
      <c r="AT22" s="2">
        <f>+IF($D22&lt;&gt;"",AT$6*$Q22/$T$4*VLOOKUP($M22,CÁRNICOS!$CD$13:$CJ$48,5,FALSE),AT$5*$Q22/$T$4*$AS$1)</f>
        <v>9.18</v>
      </c>
      <c r="AU22" s="2">
        <f>+IF($D22&lt;&gt;"",AU$6*$R22/$T$4*VLOOKUP($M22,CÁRNICOS!$CD$13:$CJ$48,5,FALSE),AU$5*$R22/$T$4*$AS$1)</f>
        <v>0</v>
      </c>
      <c r="AV22" s="2">
        <f>+IF($D22&lt;&gt;"",AV$6*$S22/$T$4*VLOOKUP($M22,CÁRNICOS!$CD$13:$CJ$48,5,FALSE),AV$5*$S22/$T$4*$AS$1)</f>
        <v>0</v>
      </c>
      <c r="AW22" s="2">
        <f>+IF($D22&lt;&gt;"",AW$6*$T22/$T$4*VLOOKUP($M22,CÁRNICOS!$CD$13:$CJ$48,5,FALSE),AW$5*$T22/$T$4*$AS$1)</f>
        <v>0</v>
      </c>
      <c r="AX22" s="120">
        <f>IF($H22&lt;&gt;"",0,SUM(AS22:AW22))</f>
        <v>12.366</v>
      </c>
      <c r="AY22" s="149">
        <f>+ROUNDUP(AX22/AY$4,0)</f>
        <v>2</v>
      </c>
      <c r="AZ22" s="120">
        <f>+IF(AX22*AY22=0,0,(ROUNDUP(AX22/AY22,3)))</f>
        <v>6.1829999999999998</v>
      </c>
      <c r="BA22" s="2">
        <f>+IF($D22&lt;&gt;"",BA$6*$P22/$T$4*VLOOKUP($M22,CÁRNICOS!$CD$13:$CJ$48,6,FALSE),BA$5*$P22/$T$4*$BA$1)</f>
        <v>0</v>
      </c>
      <c r="BB22" s="2">
        <f>+IF($D22&lt;&gt;"",BB$6*$Q22/$T$4*VLOOKUP($M22,CÁRNICOS!$CD$13:$CJ$48,6,FALSE),BB$5*$Q22/$T$4*$BA$1)</f>
        <v>0</v>
      </c>
      <c r="BC22" s="2">
        <f>+IF($D22&lt;&gt;"",BC$6*$R22/$T$4*VLOOKUP($M22,CÁRNICOS!$CD$13:$CJ$48,6,FALSE),BC$5*$R22/$T$4*$BA$1)</f>
        <v>0</v>
      </c>
      <c r="BD22" s="2">
        <f>+IF($D22&lt;&gt;"",BD$6*$S22/$T$4*VLOOKUP($M22,CÁRNICOS!$CD$13:$CJ$48,6,FALSE),BD$5*$S22/$T$4*$BA$1)</f>
        <v>0</v>
      </c>
      <c r="BE22" s="2">
        <f>+IF($D22&lt;&gt;"",BE$6*$T22/$T$4*VLOOKUP($M22,CÁRNICOS!$CD$13:$CJ$48,6,FALSE),BE$5*$T22/$T$4*$BA$1)</f>
        <v>0</v>
      </c>
      <c r="BF22" s="120">
        <f t="shared" si="2"/>
        <v>0</v>
      </c>
      <c r="BG22" s="149">
        <f t="shared" si="3"/>
        <v>0</v>
      </c>
      <c r="BH22" s="120">
        <f t="shared" si="4"/>
        <v>0</v>
      </c>
      <c r="BI22" s="2">
        <f>+IF($D22&lt;&gt;"",BI$6*$P22/$T$4*VLOOKUP($M22,CÁRNICOS!$CD$13:$CJ$48,7,FALSE),BI$5*$P22/$T$4*$BI$1)</f>
        <v>0</v>
      </c>
      <c r="BJ22" s="2">
        <f>+IF($D22&lt;&gt;"",BJ$6*$Q22/$T$4*VLOOKUP($M22,CÁRNICOS!$CD$13:$CJ$48,7,FALSE),BJ$5*$Q22/$T$4*$BI$1)</f>
        <v>0</v>
      </c>
      <c r="BK22" s="2">
        <f>+IF($D22&lt;&gt;"",BK$6*$R22/$T$4*VLOOKUP($M22,CÁRNICOS!$CD$13:$CJ$48,7,FALSE),BK$5*$R22/$T$4*$BI$1)</f>
        <v>0</v>
      </c>
      <c r="BL22" s="2">
        <f>+IF($D22&lt;&gt;"",BL$6*$S22/$T$4*VLOOKUP($M22,CÁRNICOS!$CD$13:$CJ$48,7,FALSE),BL$5*$S22/$T$4*$BI$1)</f>
        <v>0</v>
      </c>
      <c r="BM22" s="2">
        <f>+IF($D22&lt;&gt;"",BM$6*$T22/$T$4*VLOOKUP($M22,CÁRNICOS!$CD$13:$CJ$48,7,FALSE),BM$5*$T22/$T$4*$BI$1)</f>
        <v>0</v>
      </c>
      <c r="BN22" s="120">
        <f t="shared" si="5"/>
        <v>0</v>
      </c>
      <c r="BO22" s="149">
        <f t="shared" si="16"/>
        <v>0</v>
      </c>
      <c r="BP22" s="120">
        <f t="shared" si="17"/>
        <v>0</v>
      </c>
      <c r="BR22" s="74">
        <f t="shared" si="6"/>
        <v>4</v>
      </c>
      <c r="BS22" s="74" t="str">
        <f t="shared" si="7"/>
        <v>LA DORADA</v>
      </c>
      <c r="BT22" s="74" t="str">
        <f t="shared" si="8"/>
        <v>INSTITUCIÓN EDUCATIVA RENÁN BARCO - JUAN PABLO II- SEDE PRINCIPAL</v>
      </c>
      <c r="BU22" s="74" t="str">
        <f t="shared" si="9"/>
        <v>CONCENTRACIÓN ESCOLAR LAS FERIAS</v>
      </c>
      <c r="BV22" s="74">
        <f t="shared" si="10"/>
        <v>0</v>
      </c>
      <c r="BW22" s="74">
        <f t="shared" si="11"/>
        <v>0</v>
      </c>
      <c r="BX22" s="74">
        <f t="shared" si="12"/>
        <v>0</v>
      </c>
      <c r="BY22" s="74">
        <f t="shared" si="13"/>
        <v>12.366</v>
      </c>
      <c r="BZ22" s="74">
        <f t="shared" si="14"/>
        <v>0</v>
      </c>
      <c r="CA22" s="74">
        <f t="shared" si="15"/>
        <v>0</v>
      </c>
      <c r="CD22" s="135" t="str">
        <f>+CONSOLIDADO!C21</f>
        <v>MARQUETALIA</v>
      </c>
      <c r="CE22" s="136">
        <f t="shared" si="18"/>
        <v>0</v>
      </c>
      <c r="CF22" s="136">
        <f t="shared" si="18"/>
        <v>0</v>
      </c>
      <c r="CG22" s="136">
        <f t="shared" si="18"/>
        <v>0</v>
      </c>
      <c r="CH22" s="136">
        <f t="shared" si="18"/>
        <v>1</v>
      </c>
      <c r="CI22" s="136">
        <f t="shared" si="18"/>
        <v>0</v>
      </c>
      <c r="CJ22" s="136">
        <f t="shared" si="18"/>
        <v>0</v>
      </c>
    </row>
    <row r="23" spans="1:88" ht="29.95" customHeight="1" x14ac:dyDescent="0.3">
      <c r="B23" s="46">
        <f>+COUNTIF($M$8:M23,M23)</f>
        <v>4</v>
      </c>
      <c r="C23" s="14">
        <f>SUM(P23:T23)</f>
        <v>40</v>
      </c>
      <c r="D23" s="22" t="s">
        <v>73</v>
      </c>
      <c r="E23" s="124"/>
      <c r="F23" s="60"/>
      <c r="G23" s="60"/>
      <c r="H23" s="60"/>
      <c r="I23" s="60"/>
      <c r="J23" s="60"/>
      <c r="K23" s="59"/>
      <c r="L23" s="122">
        <v>4</v>
      </c>
      <c r="M23" s="164" t="s">
        <v>23</v>
      </c>
      <c r="N23" s="164" t="s">
        <v>203</v>
      </c>
      <c r="O23" s="165" t="s">
        <v>225</v>
      </c>
      <c r="P23" s="166">
        <v>0</v>
      </c>
      <c r="Q23" s="166">
        <v>0</v>
      </c>
      <c r="R23" s="167">
        <v>0</v>
      </c>
      <c r="S23" s="74">
        <v>40</v>
      </c>
      <c r="T23" s="74">
        <v>0</v>
      </c>
      <c r="U23" s="2">
        <f>+IF($D23&lt;&gt;"",U$6*$P23/$T$4*VLOOKUP($M23,CÁRNICOS!$CD$13:$CJ$48,2,FALSE),U$5*$P23/$T$4*$U$1)</f>
        <v>0</v>
      </c>
      <c r="V23" s="2">
        <f>+IF($D23&lt;&gt;"",V$6*$Q23/$T$4*VLOOKUP($M23,CÁRNICOS!$CD$13:$CJ$48,2,FALSE),V$5*$Q23/$T$4*$U$1)</f>
        <v>0</v>
      </c>
      <c r="W23" s="2">
        <f>+IF($D23&lt;&gt;"",W$6*$R23/$T$4*VLOOKUP($M23,CÁRNICOS!$CD$13:$CJ$48,2,FALSE),W$5*$R23/$T$4*$U$1)</f>
        <v>0</v>
      </c>
      <c r="X23" s="2">
        <f>+IF($D23&lt;&gt;"",X$6*$S23/$T$4*VLOOKUP($M23,CÁRNICOS!$CD$13:$CJ$48,2,FALSE),X$5*$S23/$T$4*$U$1)</f>
        <v>0</v>
      </c>
      <c r="Y23" s="2">
        <f>+IF($D23&lt;&gt;"",Y$6*$T23/$T$4*VLOOKUP($M23,CÁRNICOS!$CD$13:$CJ$48,2,FALSE),Y$5*$T23/$T$4*$U$1)</f>
        <v>0</v>
      </c>
      <c r="Z23" s="146">
        <f>IF($E23&lt;&gt;"",0,SUM(U23:Y23))</f>
        <v>0</v>
      </c>
      <c r="AA23" s="149">
        <f>+ROUNDUP(Z23/AA$4,0)</f>
        <v>0</v>
      </c>
      <c r="AB23" s="120">
        <f>+IF(Z23*AA23=0,0,(ROUNDUP(Z23/AA23,3)))</f>
        <v>0</v>
      </c>
      <c r="AC23" s="147">
        <f>+IF($D23&lt;&gt;"",AC$6*$P23/$T$4*VLOOKUP($M23,CÁRNICOS!$CD$13:$CJ$48,3,FALSE),AC$5*$P23/$T$4*$AC$1)</f>
        <v>0</v>
      </c>
      <c r="AD23" s="147">
        <f>+IF($D23&lt;&gt;"",AD$6*$Q23/$T$4*VLOOKUP($M23,CÁRNICOS!$CD$13:$CJ$48,3,FALSE),AD$5*$Q23/$T$4*$AC$1)</f>
        <v>0</v>
      </c>
      <c r="AE23" s="2">
        <f>+IF($D23&lt;&gt;"",AE$6*$R23/$T$4*VLOOKUP($M23,CÁRNICOS!$CD$13:$CJ$48,3,FALSE),AE$5*$R23/$T$4*$AC$1)</f>
        <v>0</v>
      </c>
      <c r="AF23" s="2">
        <f>+IF($D23&lt;&gt;"",AF$6*$S23/$T$4*VLOOKUP($M23,CÁRNICOS!$CD$13:$CJ$48,3,FALSE),AF$5*$S23/$T$4*$AC$1)</f>
        <v>0</v>
      </c>
      <c r="AG23" s="2">
        <f>+IF($D23&lt;&gt;"",AG$6*$T23/$T$4*VLOOKUP($M23,CÁRNICOS!$CD$13:$CJ$48,3,FALSE),AG$5*$T23/$T$4*$AC$1)</f>
        <v>0</v>
      </c>
      <c r="AH23" s="120">
        <f>IF($F23&lt;&gt;"",0,SUM(AC23:AG23))</f>
        <v>0</v>
      </c>
      <c r="AI23" s="149">
        <f>+ROUNDUP(AH23/AI$4,0)</f>
        <v>0</v>
      </c>
      <c r="AJ23" s="120">
        <f>+IF(AH23*AI23=0,0,(ROUNDUP(AH23/AI23,3)))</f>
        <v>0</v>
      </c>
      <c r="AK23" s="2">
        <f>+IF($D23&lt;&gt;"",AK$6*$P23/$T$4*VLOOKUP($M23,CÁRNICOS!$CD$13:$CJ$48,4,FALSE),AK$5*$P23/$T$4*$AK$1)</f>
        <v>0</v>
      </c>
      <c r="AL23" s="2">
        <f>+IF($D23&lt;&gt;"",AL$6*$Q23/$T$4*VLOOKUP($M23,CÁRNICOS!$CD$13:$CJ$48,4,FALSE),AL$5*$Q23/$T$4*$AK$1)</f>
        <v>0</v>
      </c>
      <c r="AM23" s="2">
        <f>+IF($D23&lt;&gt;"",AM$6*$R23/$T$4*VLOOKUP($M23,CÁRNICOS!$CD$13:$CJ$48,4,FALSE),AM$5*$R23/$T$4*$AK$1)</f>
        <v>0</v>
      </c>
      <c r="AN23" s="2">
        <f>+IF($D23&lt;&gt;"",AN$6*$S23/$T$4*VLOOKUP($M23,CÁRNICOS!$CD$13:$CJ$48,4,FALSE),AN$5*$S23/$T$4*$AK$1)</f>
        <v>0</v>
      </c>
      <c r="AO23" s="2">
        <f>+IF($D23&lt;&gt;"",AO$6*$T23/$T$4*VLOOKUP($M23,CÁRNICOS!$CD$13:$CJ$48,4,FALSE),AO$5*$T23/$T$4*$AK$1)</f>
        <v>0</v>
      </c>
      <c r="AP23" s="120">
        <f>IF($G23&lt;&gt;"",0,SUM(AK23:AO23))</f>
        <v>0</v>
      </c>
      <c r="AQ23" s="149">
        <f>+ROUNDUP(AP23/AQ$4,0)</f>
        <v>0</v>
      </c>
      <c r="AR23" s="120">
        <f>+IF(AP23*AQ23=0,0,(ROUNDUP(AP23/AQ23,3)))</f>
        <v>0</v>
      </c>
      <c r="AS23" s="2">
        <f>+IF($D23&lt;&gt;"",AS$6*$P23/$T$4*VLOOKUP($M23,CÁRNICOS!$CD$13:$CJ$48,5,FALSE),AS$5*$P23/$T$4*$AS$1)</f>
        <v>0</v>
      </c>
      <c r="AT23" s="2">
        <f>+IF($D23&lt;&gt;"",AT$6*$Q23/$T$4*VLOOKUP($M23,CÁRNICOS!$CD$13:$CJ$48,5,FALSE),AT$5*$Q23/$T$4*$AS$1)</f>
        <v>0</v>
      </c>
      <c r="AU23" s="2">
        <f>+IF($D23&lt;&gt;"",AU$6*$R23/$T$4*VLOOKUP($M23,CÁRNICOS!$CD$13:$CJ$48,5,FALSE),AU$5*$R23/$T$4*$AS$1)</f>
        <v>0</v>
      </c>
      <c r="AV23" s="2">
        <f>+IF($D23&lt;&gt;"",AV$6*$S23/$T$4*VLOOKUP($M23,CÁRNICOS!$CD$13:$CJ$48,5,FALSE),AV$5*$S23/$T$4*$AS$1)</f>
        <v>3.2</v>
      </c>
      <c r="AW23" s="2">
        <f>+IF($D23&lt;&gt;"",AW$6*$T23/$T$4*VLOOKUP($M23,CÁRNICOS!$CD$13:$CJ$48,5,FALSE),AW$5*$T23/$T$4*$AS$1)</f>
        <v>0</v>
      </c>
      <c r="AX23" s="120">
        <f>IF($H23&lt;&gt;"",0,SUM(AS23:AW23))</f>
        <v>3.2</v>
      </c>
      <c r="AY23" s="149">
        <f>+ROUNDUP(AX23/AY$4,0)</f>
        <v>1</v>
      </c>
      <c r="AZ23" s="120">
        <f>+IF(AX23*AY23=0,0,(ROUNDUP(AX23/AY23,3)))</f>
        <v>3.2</v>
      </c>
      <c r="BA23" s="2">
        <f>+IF($D23&lt;&gt;"",BA$6*$P23/$T$4*VLOOKUP($M23,CÁRNICOS!$CD$13:$CJ$48,6,FALSE),BA$5*$P23/$T$4*$BA$1)</f>
        <v>0</v>
      </c>
      <c r="BB23" s="2">
        <f>+IF($D23&lt;&gt;"",BB$6*$Q23/$T$4*VLOOKUP($M23,CÁRNICOS!$CD$13:$CJ$48,6,FALSE),BB$5*$Q23/$T$4*$BA$1)</f>
        <v>0</v>
      </c>
      <c r="BC23" s="2">
        <f>+IF($D23&lt;&gt;"",BC$6*$R23/$T$4*VLOOKUP($M23,CÁRNICOS!$CD$13:$CJ$48,6,FALSE),BC$5*$R23/$T$4*$BA$1)</f>
        <v>0</v>
      </c>
      <c r="BD23" s="2">
        <f>+IF($D23&lt;&gt;"",BD$6*$S23/$T$4*VLOOKUP($M23,CÁRNICOS!$CD$13:$CJ$48,6,FALSE),BD$5*$S23/$T$4*$BA$1)</f>
        <v>0</v>
      </c>
      <c r="BE23" s="2">
        <f>+IF($D23&lt;&gt;"",BE$6*$T23/$T$4*VLOOKUP($M23,CÁRNICOS!$CD$13:$CJ$48,6,FALSE),BE$5*$T23/$T$4*$BA$1)</f>
        <v>0</v>
      </c>
      <c r="BF23" s="120">
        <f t="shared" si="2"/>
        <v>0</v>
      </c>
      <c r="BG23" s="149">
        <f t="shared" si="3"/>
        <v>0</v>
      </c>
      <c r="BH23" s="120">
        <f t="shared" si="4"/>
        <v>0</v>
      </c>
      <c r="BI23" s="2">
        <f>+IF($D23&lt;&gt;"",BI$6*$P23/$T$4*VLOOKUP($M23,CÁRNICOS!$CD$13:$CJ$48,7,FALSE),BI$5*$P23/$T$4*$BI$1)</f>
        <v>0</v>
      </c>
      <c r="BJ23" s="2">
        <f>+IF($D23&lt;&gt;"",BJ$6*$Q23/$T$4*VLOOKUP($M23,CÁRNICOS!$CD$13:$CJ$48,7,FALSE),BJ$5*$Q23/$T$4*$BI$1)</f>
        <v>0</v>
      </c>
      <c r="BK23" s="2">
        <f>+IF($D23&lt;&gt;"",BK$6*$R23/$T$4*VLOOKUP($M23,CÁRNICOS!$CD$13:$CJ$48,7,FALSE),BK$5*$R23/$T$4*$BI$1)</f>
        <v>0</v>
      </c>
      <c r="BL23" s="2">
        <f>+IF($D23&lt;&gt;"",BL$6*$S23/$T$4*VLOOKUP($M23,CÁRNICOS!$CD$13:$CJ$48,7,FALSE),BL$5*$S23/$T$4*$BI$1)</f>
        <v>0</v>
      </c>
      <c r="BM23" s="2">
        <f>+IF($D23&lt;&gt;"",BM$6*$T23/$T$4*VLOOKUP($M23,CÁRNICOS!$CD$13:$CJ$48,7,FALSE),BM$5*$T23/$T$4*$BI$1)</f>
        <v>0</v>
      </c>
      <c r="BN23" s="120">
        <f t="shared" si="5"/>
        <v>0</v>
      </c>
      <c r="BO23" s="149">
        <f t="shared" si="16"/>
        <v>0</v>
      </c>
      <c r="BP23" s="120">
        <f t="shared" si="17"/>
        <v>0</v>
      </c>
      <c r="BR23" s="74">
        <f t="shared" si="6"/>
        <v>4</v>
      </c>
      <c r="BS23" s="74" t="str">
        <f t="shared" si="7"/>
        <v>LA DORADA</v>
      </c>
      <c r="BT23" s="74" t="str">
        <f t="shared" si="8"/>
        <v>INSTITUCIÓN EDUCATIVA RENÁN BARCO - JUAN PABLO II- SEDE PRINCIPAL</v>
      </c>
      <c r="BU23" s="74" t="str">
        <f t="shared" si="9"/>
        <v>INSTITUCION EDUCATIVA RENAN BARCO - SEDE PRINCIPAL</v>
      </c>
      <c r="BV23" s="74">
        <f t="shared" si="10"/>
        <v>0</v>
      </c>
      <c r="BW23" s="74">
        <f t="shared" si="11"/>
        <v>0</v>
      </c>
      <c r="BX23" s="74">
        <f t="shared" si="12"/>
        <v>0</v>
      </c>
      <c r="BY23" s="74">
        <f t="shared" si="13"/>
        <v>3.2</v>
      </c>
      <c r="BZ23" s="74">
        <f t="shared" si="14"/>
        <v>0</v>
      </c>
      <c r="CA23" s="74">
        <f t="shared" si="15"/>
        <v>0</v>
      </c>
      <c r="CD23" s="135" t="str">
        <f>+CONSOLIDADO!C22</f>
        <v>MARULANDA</v>
      </c>
      <c r="CE23" s="136">
        <f t="shared" si="18"/>
        <v>0</v>
      </c>
      <c r="CF23" s="136">
        <f t="shared" si="18"/>
        <v>0</v>
      </c>
      <c r="CG23" s="136">
        <f t="shared" si="18"/>
        <v>0</v>
      </c>
      <c r="CH23" s="136">
        <f t="shared" si="18"/>
        <v>1</v>
      </c>
      <c r="CI23" s="136">
        <f t="shared" si="18"/>
        <v>0</v>
      </c>
      <c r="CJ23" s="136">
        <f t="shared" si="18"/>
        <v>0</v>
      </c>
    </row>
    <row r="24" spans="1:88" ht="29.95" customHeight="1" x14ac:dyDescent="0.3">
      <c r="B24" s="46">
        <f>+COUNTIF($M$8:M24,M24)</f>
        <v>5</v>
      </c>
      <c r="C24" s="14">
        <f>SUM(P24:T24)</f>
        <v>48</v>
      </c>
      <c r="D24" s="22" t="s">
        <v>73</v>
      </c>
      <c r="E24" s="124"/>
      <c r="F24" s="60"/>
      <c r="G24" s="60"/>
      <c r="H24" s="60"/>
      <c r="I24" s="60"/>
      <c r="J24" s="60"/>
      <c r="K24" s="59"/>
      <c r="L24" s="122">
        <v>4</v>
      </c>
      <c r="M24" s="164" t="s">
        <v>23</v>
      </c>
      <c r="N24" s="164" t="s">
        <v>226</v>
      </c>
      <c r="O24" s="165" t="s">
        <v>227</v>
      </c>
      <c r="P24" s="166">
        <v>23</v>
      </c>
      <c r="Q24" s="166">
        <v>25</v>
      </c>
      <c r="R24" s="167">
        <v>0</v>
      </c>
      <c r="S24" s="74">
        <v>0</v>
      </c>
      <c r="T24" s="74">
        <v>0</v>
      </c>
      <c r="U24" s="2">
        <f>+IF($D24&lt;&gt;"",U$6*$P24/$T$4*VLOOKUP($M24,CÁRNICOS!$CD$13:$CJ$48,2,FALSE),U$5*$P24/$T$4*$U$1)</f>
        <v>0</v>
      </c>
      <c r="V24" s="2">
        <f>+IF($D24&lt;&gt;"",V$6*$Q24/$T$4*VLOOKUP($M24,CÁRNICOS!$CD$13:$CJ$48,2,FALSE),V$5*$Q24/$T$4*$U$1)</f>
        <v>0</v>
      </c>
      <c r="W24" s="2">
        <f>+IF($D24&lt;&gt;"",W$6*$R24/$T$4*VLOOKUP($M24,CÁRNICOS!$CD$13:$CJ$48,2,FALSE),W$5*$R24/$T$4*$U$1)</f>
        <v>0</v>
      </c>
      <c r="X24" s="2">
        <f>+IF($D24&lt;&gt;"",X$6*$S24/$T$4*VLOOKUP($M24,CÁRNICOS!$CD$13:$CJ$48,2,FALSE),X$5*$S24/$T$4*$U$1)</f>
        <v>0</v>
      </c>
      <c r="Y24" s="2">
        <f>+IF($D24&lt;&gt;"",Y$6*$T24/$T$4*VLOOKUP($M24,CÁRNICOS!$CD$13:$CJ$48,2,FALSE),Y$5*$T24/$T$4*$U$1)</f>
        <v>0</v>
      </c>
      <c r="Z24" s="146">
        <f>IF($E24&lt;&gt;"",0,SUM(U24:Y24))</f>
        <v>0</v>
      </c>
      <c r="AA24" s="149">
        <f>+ROUNDUP(Z24/AA$4,0)</f>
        <v>0</v>
      </c>
      <c r="AB24" s="120">
        <f>+IF(Z24*AA24=0,0,(ROUNDUP(Z24/AA24,3)))</f>
        <v>0</v>
      </c>
      <c r="AC24" s="147">
        <f>+IF($D24&lt;&gt;"",AC$6*$P24/$T$4*VLOOKUP($M24,CÁRNICOS!$CD$13:$CJ$48,3,FALSE),AC$5*$P24/$T$4*$AC$1)</f>
        <v>0</v>
      </c>
      <c r="AD24" s="147">
        <f>+IF($D24&lt;&gt;"",AD$6*$Q24/$T$4*VLOOKUP($M24,CÁRNICOS!$CD$13:$CJ$48,3,FALSE),AD$5*$Q24/$T$4*$AC$1)</f>
        <v>0</v>
      </c>
      <c r="AE24" s="2">
        <f>+IF($D24&lt;&gt;"",AE$6*$R24/$T$4*VLOOKUP($M24,CÁRNICOS!$CD$13:$CJ$48,3,FALSE),AE$5*$R24/$T$4*$AC$1)</f>
        <v>0</v>
      </c>
      <c r="AF24" s="2">
        <f>+IF($D24&lt;&gt;"",AF$6*$S24/$T$4*VLOOKUP($M24,CÁRNICOS!$CD$13:$CJ$48,3,FALSE),AF$5*$S24/$T$4*$AC$1)</f>
        <v>0</v>
      </c>
      <c r="AG24" s="2">
        <f>+IF($D24&lt;&gt;"",AG$6*$T24/$T$4*VLOOKUP($M24,CÁRNICOS!$CD$13:$CJ$48,3,FALSE),AG$5*$T24/$T$4*$AC$1)</f>
        <v>0</v>
      </c>
      <c r="AH24" s="120">
        <f>IF($F24&lt;&gt;"",0,SUM(AC24:AG24))</f>
        <v>0</v>
      </c>
      <c r="AI24" s="149">
        <f>+ROUNDUP(AH24/AI$4,0)</f>
        <v>0</v>
      </c>
      <c r="AJ24" s="120">
        <f>+IF(AH24*AI24=0,0,(ROUNDUP(AH24/AI24,3)))</f>
        <v>0</v>
      </c>
      <c r="AK24" s="2">
        <f>+IF($D24&lt;&gt;"",AK$6*$P24/$T$4*VLOOKUP($M24,CÁRNICOS!$CD$13:$CJ$48,4,FALSE),AK$5*$P24/$T$4*$AK$1)</f>
        <v>0</v>
      </c>
      <c r="AL24" s="2">
        <f>+IF($D24&lt;&gt;"",AL$6*$Q24/$T$4*VLOOKUP($M24,CÁRNICOS!$CD$13:$CJ$48,4,FALSE),AL$5*$Q24/$T$4*$AK$1)</f>
        <v>0</v>
      </c>
      <c r="AM24" s="2">
        <f>+IF($D24&lt;&gt;"",AM$6*$R24/$T$4*VLOOKUP($M24,CÁRNICOS!$CD$13:$CJ$48,4,FALSE),AM$5*$R24/$T$4*$AK$1)</f>
        <v>0</v>
      </c>
      <c r="AN24" s="2">
        <f>+IF($D24&lt;&gt;"",AN$6*$S24/$T$4*VLOOKUP($M24,CÁRNICOS!$CD$13:$CJ$48,4,FALSE),AN$5*$S24/$T$4*$AK$1)</f>
        <v>0</v>
      </c>
      <c r="AO24" s="2">
        <f>+IF($D24&lt;&gt;"",AO$6*$T24/$T$4*VLOOKUP($M24,CÁRNICOS!$CD$13:$CJ$48,4,FALSE),AO$5*$T24/$T$4*$AK$1)</f>
        <v>0</v>
      </c>
      <c r="AP24" s="120">
        <f>IF($G24&lt;&gt;"",0,SUM(AK24:AO24))</f>
        <v>0</v>
      </c>
      <c r="AQ24" s="149">
        <f>+ROUNDUP(AP24/AQ$4,0)</f>
        <v>0</v>
      </c>
      <c r="AR24" s="120">
        <f>+IF(AP24*AQ24=0,0,(ROUNDUP(AP24/AQ24,3)))</f>
        <v>0</v>
      </c>
      <c r="AS24" s="2">
        <f>+IF($D24&lt;&gt;"",AS$6*$P24/$T$4*VLOOKUP($M24,CÁRNICOS!$CD$13:$CJ$48,5,FALSE),AS$5*$P24/$T$4*$AS$1)</f>
        <v>1.242</v>
      </c>
      <c r="AT24" s="2">
        <f>+IF($D24&lt;&gt;"",AT$6*$Q24/$T$4*VLOOKUP($M24,CÁRNICOS!$CD$13:$CJ$48,5,FALSE),AT$5*$Q24/$T$4*$AS$1)</f>
        <v>1.35</v>
      </c>
      <c r="AU24" s="2">
        <f>+IF($D24&lt;&gt;"",AU$6*$R24/$T$4*VLOOKUP($M24,CÁRNICOS!$CD$13:$CJ$48,5,FALSE),AU$5*$R24/$T$4*$AS$1)</f>
        <v>0</v>
      </c>
      <c r="AV24" s="2">
        <f>+IF($D24&lt;&gt;"",AV$6*$S24/$T$4*VLOOKUP($M24,CÁRNICOS!$CD$13:$CJ$48,5,FALSE),AV$5*$S24/$T$4*$AS$1)</f>
        <v>0</v>
      </c>
      <c r="AW24" s="2">
        <f>+IF($D24&lt;&gt;"",AW$6*$T24/$T$4*VLOOKUP($M24,CÁRNICOS!$CD$13:$CJ$48,5,FALSE),AW$5*$T24/$T$4*$AS$1)</f>
        <v>0</v>
      </c>
      <c r="AX24" s="120">
        <f>IF($H24&lt;&gt;"",0,SUM(AS24:AW24))</f>
        <v>2.5920000000000001</v>
      </c>
      <c r="AY24" s="149">
        <f>+ROUNDUP(AX24/AY$4,0)</f>
        <v>1</v>
      </c>
      <c r="AZ24" s="120">
        <f>+IF(AX24*AY24=0,0,(ROUNDUP(AX24/AY24,3)))</f>
        <v>2.5920000000000001</v>
      </c>
      <c r="BA24" s="2">
        <f>+IF($D24&lt;&gt;"",BA$6*$P24/$T$4*VLOOKUP($M24,CÁRNICOS!$CD$13:$CJ$48,6,FALSE),BA$5*$P24/$T$4*$BA$1)</f>
        <v>0</v>
      </c>
      <c r="BB24" s="2">
        <f>+IF($D24&lt;&gt;"",BB$6*$Q24/$T$4*VLOOKUP($M24,CÁRNICOS!$CD$13:$CJ$48,6,FALSE),BB$5*$Q24/$T$4*$BA$1)</f>
        <v>0</v>
      </c>
      <c r="BC24" s="2">
        <f>+IF($D24&lt;&gt;"",BC$6*$R24/$T$4*VLOOKUP($M24,CÁRNICOS!$CD$13:$CJ$48,6,FALSE),BC$5*$R24/$T$4*$BA$1)</f>
        <v>0</v>
      </c>
      <c r="BD24" s="2">
        <f>+IF($D24&lt;&gt;"",BD$6*$S24/$T$4*VLOOKUP($M24,CÁRNICOS!$CD$13:$CJ$48,6,FALSE),BD$5*$S24/$T$4*$BA$1)</f>
        <v>0</v>
      </c>
      <c r="BE24" s="2">
        <f>+IF($D24&lt;&gt;"",BE$6*$T24/$T$4*VLOOKUP($M24,CÁRNICOS!$CD$13:$CJ$48,6,FALSE),BE$5*$T24/$T$4*$BA$1)</f>
        <v>0</v>
      </c>
      <c r="BF24" s="120">
        <f t="shared" si="2"/>
        <v>0</v>
      </c>
      <c r="BG24" s="149">
        <f t="shared" si="3"/>
        <v>0</v>
      </c>
      <c r="BH24" s="120">
        <f t="shared" si="4"/>
        <v>0</v>
      </c>
      <c r="BI24" s="2">
        <f>+IF($D24&lt;&gt;"",BI$6*$P24/$T$4*VLOOKUP($M24,CÁRNICOS!$CD$13:$CJ$48,7,FALSE),BI$5*$P24/$T$4*$BI$1)</f>
        <v>0</v>
      </c>
      <c r="BJ24" s="2">
        <f>+IF($D24&lt;&gt;"",BJ$6*$Q24/$T$4*VLOOKUP($M24,CÁRNICOS!$CD$13:$CJ$48,7,FALSE),BJ$5*$Q24/$T$4*$BI$1)</f>
        <v>0</v>
      </c>
      <c r="BK24" s="2">
        <f>+IF($D24&lt;&gt;"",BK$6*$R24/$T$4*VLOOKUP($M24,CÁRNICOS!$CD$13:$CJ$48,7,FALSE),BK$5*$R24/$T$4*$BI$1)</f>
        <v>0</v>
      </c>
      <c r="BL24" s="2">
        <f>+IF($D24&lt;&gt;"",BL$6*$S24/$T$4*VLOOKUP($M24,CÁRNICOS!$CD$13:$CJ$48,7,FALSE),BL$5*$S24/$T$4*$BI$1)</f>
        <v>0</v>
      </c>
      <c r="BM24" s="2">
        <f>+IF($D24&lt;&gt;"",BM$6*$T24/$T$4*VLOOKUP($M24,CÁRNICOS!$CD$13:$CJ$48,7,FALSE),BM$5*$T24/$T$4*$BI$1)</f>
        <v>0</v>
      </c>
      <c r="BN24" s="120">
        <f t="shared" si="5"/>
        <v>0</v>
      </c>
      <c r="BO24" s="149">
        <f t="shared" si="16"/>
        <v>0</v>
      </c>
      <c r="BP24" s="120">
        <f t="shared" si="17"/>
        <v>0</v>
      </c>
      <c r="BR24" s="74">
        <f t="shared" si="6"/>
        <v>4</v>
      </c>
      <c r="BS24" s="74" t="str">
        <f t="shared" si="7"/>
        <v>LA DORADA</v>
      </c>
      <c r="BT24" s="74" t="str">
        <f t="shared" si="8"/>
        <v>INSTITUCION EDUCATIVA TÉCNICA ALFONSO LOPEZ</v>
      </c>
      <c r="BU24" s="74" t="str">
        <f t="shared" si="9"/>
        <v>ESCUELA MIGUEL DE CERVANTES SAAVEDRA</v>
      </c>
      <c r="BV24" s="74">
        <f t="shared" si="10"/>
        <v>0</v>
      </c>
      <c r="BW24" s="74">
        <f t="shared" si="11"/>
        <v>0</v>
      </c>
      <c r="BX24" s="74">
        <f t="shared" si="12"/>
        <v>0</v>
      </c>
      <c r="BY24" s="74">
        <f t="shared" si="13"/>
        <v>2.5920000000000001</v>
      </c>
      <c r="BZ24" s="74">
        <f t="shared" si="14"/>
        <v>0</v>
      </c>
      <c r="CA24" s="74">
        <f t="shared" si="15"/>
        <v>0</v>
      </c>
      <c r="CD24" s="135" t="str">
        <f>+CONSOLIDADO!C23</f>
        <v>TOTAL MÓDULO I</v>
      </c>
      <c r="CE24" s="136">
        <f t="shared" si="18"/>
        <v>0</v>
      </c>
      <c r="CF24" s="136">
        <f t="shared" si="18"/>
        <v>0</v>
      </c>
      <c r="CG24" s="136">
        <f t="shared" si="18"/>
        <v>0</v>
      </c>
      <c r="CH24" s="136">
        <f t="shared" si="18"/>
        <v>1</v>
      </c>
      <c r="CI24" s="136">
        <f t="shared" si="18"/>
        <v>0</v>
      </c>
      <c r="CJ24" s="136">
        <f t="shared" si="18"/>
        <v>0</v>
      </c>
    </row>
    <row r="25" spans="1:88" ht="29.95" customHeight="1" x14ac:dyDescent="0.3">
      <c r="B25" s="46">
        <v>1</v>
      </c>
      <c r="C25" s="14">
        <f>SUM(P25:T25)</f>
        <v>20</v>
      </c>
      <c r="D25" s="22" t="s">
        <v>73</v>
      </c>
      <c r="E25" s="124"/>
      <c r="F25" s="60"/>
      <c r="G25" s="60"/>
      <c r="H25" s="60"/>
      <c r="I25" s="60"/>
      <c r="J25" s="60"/>
      <c r="K25" s="59"/>
      <c r="L25" s="122">
        <v>6</v>
      </c>
      <c r="M25" s="164" t="s">
        <v>23</v>
      </c>
      <c r="N25" s="164" t="s">
        <v>190</v>
      </c>
      <c r="O25" s="165" t="s">
        <v>191</v>
      </c>
      <c r="P25" s="166">
        <v>0</v>
      </c>
      <c r="Q25" s="166">
        <v>20</v>
      </c>
      <c r="R25" s="167">
        <v>0</v>
      </c>
      <c r="S25" s="74">
        <v>0</v>
      </c>
      <c r="T25" s="74">
        <v>0</v>
      </c>
      <c r="U25" s="2">
        <f>+IF($D25&lt;&gt;"",U$6*$P25/$T$4*VLOOKUP($M25,CÁRNICOS!$CD$13:$CJ$48,2,FALSE),U$5*$P25/$T$4*$U$1)</f>
        <v>0</v>
      </c>
      <c r="V25" s="2">
        <f>+IF($D25&lt;&gt;"",V$6*$Q25/$T$4*VLOOKUP($M25,CÁRNICOS!$CD$13:$CJ$48,2,FALSE),V$5*$Q25/$T$4*$U$1)</f>
        <v>0</v>
      </c>
      <c r="W25" s="2">
        <f>+IF($D25&lt;&gt;"",W$6*$R25/$T$4*VLOOKUP($M25,CÁRNICOS!$CD$13:$CJ$48,2,FALSE),W$5*$R25/$T$4*$U$1)</f>
        <v>0</v>
      </c>
      <c r="X25" s="2">
        <f>+IF($D25&lt;&gt;"",X$6*$S25/$T$4*VLOOKUP($M25,CÁRNICOS!$CD$13:$CJ$48,2,FALSE),X$5*$S25/$T$4*$U$1)</f>
        <v>0</v>
      </c>
      <c r="Y25" s="2">
        <f>+IF($D25&lt;&gt;"",Y$6*$T25/$T$4*VLOOKUP($M25,CÁRNICOS!$CD$13:$CJ$48,2,FALSE),Y$5*$T25/$T$4*$U$1)</f>
        <v>0</v>
      </c>
      <c r="Z25" s="146">
        <f>IF($E25&lt;&gt;"",0,SUM(U25:Y25))</f>
        <v>0</v>
      </c>
      <c r="AA25" s="149">
        <f>+ROUNDUP(Z25/AA$4,0)</f>
        <v>0</v>
      </c>
      <c r="AB25" s="120">
        <f>+IF(Z25*AA25=0,0,(ROUNDUP(Z25/AA25,3)))</f>
        <v>0</v>
      </c>
      <c r="AC25" s="147">
        <f>+IF($D25&lt;&gt;"",AC$6*$P25/$T$4*VLOOKUP($M25,CÁRNICOS!$CD$13:$CJ$48,3,FALSE),AC$5*$P25/$T$4*$AC$1)</f>
        <v>0</v>
      </c>
      <c r="AD25" s="147">
        <f>+IF($D25&lt;&gt;"",AD$6*$Q25/$T$4*VLOOKUP($M25,CÁRNICOS!$CD$13:$CJ$48,3,FALSE),AD$5*$Q25/$T$4*$AC$1)</f>
        <v>0</v>
      </c>
      <c r="AE25" s="2">
        <f>+IF($D25&lt;&gt;"",AE$6*$R25/$T$4*VLOOKUP($M25,CÁRNICOS!$CD$13:$CJ$48,3,FALSE),AE$5*$R25/$T$4*$AC$1)</f>
        <v>0</v>
      </c>
      <c r="AF25" s="2">
        <f>+IF($D25&lt;&gt;"",AF$6*$S25/$T$4*VLOOKUP($M25,CÁRNICOS!$CD$13:$CJ$48,3,FALSE),AF$5*$S25/$T$4*$AC$1)</f>
        <v>0</v>
      </c>
      <c r="AG25" s="2">
        <f>+IF($D25&lt;&gt;"",AG$6*$T25/$T$4*VLOOKUP($M25,CÁRNICOS!$CD$13:$CJ$48,3,FALSE),AG$5*$T25/$T$4*$AC$1)</f>
        <v>0</v>
      </c>
      <c r="AH25" s="120">
        <f>IF($F25&lt;&gt;"",0,SUM(AC25:AG25))</f>
        <v>0</v>
      </c>
      <c r="AI25" s="149">
        <f>+ROUNDUP(AH25/AI$4,0)</f>
        <v>0</v>
      </c>
      <c r="AJ25" s="120">
        <f>+IF(AH25*AI25=0,0,(ROUNDUP(AH25/AI25,3)))</f>
        <v>0</v>
      </c>
      <c r="AK25" s="2">
        <f>+IF($D25&lt;&gt;"",AK$6*$P25/$T$4*VLOOKUP($M25,CÁRNICOS!$CD$13:$CJ$48,4,FALSE),AK$5*$P25/$T$4*$AK$1)</f>
        <v>0</v>
      </c>
      <c r="AL25" s="2">
        <f>+IF($D25&lt;&gt;"",AL$6*$Q25/$T$4*VLOOKUP($M25,CÁRNICOS!$CD$13:$CJ$48,4,FALSE),AL$5*$Q25/$T$4*$AK$1)</f>
        <v>0</v>
      </c>
      <c r="AM25" s="2">
        <f>+IF($D25&lt;&gt;"",AM$6*$R25/$T$4*VLOOKUP($M25,CÁRNICOS!$CD$13:$CJ$48,4,FALSE),AM$5*$R25/$T$4*$AK$1)</f>
        <v>0</v>
      </c>
      <c r="AN25" s="2">
        <f>+IF($D25&lt;&gt;"",AN$6*$S25/$T$4*VLOOKUP($M25,CÁRNICOS!$CD$13:$CJ$48,4,FALSE),AN$5*$S25/$T$4*$AK$1)</f>
        <v>0</v>
      </c>
      <c r="AO25" s="2">
        <f>+IF($D25&lt;&gt;"",AO$6*$T25/$T$4*VLOOKUP($M25,CÁRNICOS!$CD$13:$CJ$48,4,FALSE),AO$5*$T25/$T$4*$AK$1)</f>
        <v>0</v>
      </c>
      <c r="AP25" s="120">
        <f>IF($G25&lt;&gt;"",0,SUM(AK25:AO25))</f>
        <v>0</v>
      </c>
      <c r="AQ25" s="149">
        <f>+ROUNDUP(AP25/AQ$4,0)</f>
        <v>0</v>
      </c>
      <c r="AR25" s="120">
        <f>+IF(AP25*AQ25=0,0,(ROUNDUP(AP25/AQ25,3)))</f>
        <v>0</v>
      </c>
      <c r="AS25" s="2">
        <f>+IF($D25&lt;&gt;"",AS$6*$P25/$T$4*VLOOKUP($M25,CÁRNICOS!$CD$13:$CJ$48,5,FALSE),AS$5*$P25/$T$4*$AS$1)</f>
        <v>0</v>
      </c>
      <c r="AT25" s="2">
        <f>+IF($D25&lt;&gt;"",AT$6*$Q25/$T$4*VLOOKUP($M25,CÁRNICOS!$CD$13:$CJ$48,5,FALSE),AT$5*$Q25/$T$4*$AS$1)</f>
        <v>1.08</v>
      </c>
      <c r="AU25" s="2">
        <f>+IF($D25&lt;&gt;"",AU$6*$R25/$T$4*VLOOKUP($M25,CÁRNICOS!$CD$13:$CJ$48,5,FALSE),AU$5*$R25/$T$4*$AS$1)</f>
        <v>0</v>
      </c>
      <c r="AV25" s="2">
        <f>+IF($D25&lt;&gt;"",AV$6*$S25/$T$4*VLOOKUP($M25,CÁRNICOS!$CD$13:$CJ$48,5,FALSE),AV$5*$S25/$T$4*$AS$1)</f>
        <v>0</v>
      </c>
      <c r="AW25" s="2">
        <f>+IF($D25&lt;&gt;"",AW$6*$T25/$T$4*VLOOKUP($M25,CÁRNICOS!$CD$13:$CJ$48,5,FALSE),AW$5*$T25/$T$4*$AS$1)</f>
        <v>0</v>
      </c>
      <c r="AX25" s="120">
        <f>IF($H25&lt;&gt;"",0,SUM(AS25:AW25))</f>
        <v>1.08</v>
      </c>
      <c r="AY25" s="149">
        <f>+ROUNDUP(AX25/AY$4,0)</f>
        <v>1</v>
      </c>
      <c r="AZ25" s="120">
        <f>+IF(AX25*AY25=0,0,(ROUNDUP(AX25/AY25,3)))</f>
        <v>1.08</v>
      </c>
      <c r="BA25" s="2">
        <f>+IF($D25&lt;&gt;"",BA$6*$P25/$T$4*VLOOKUP($M25,CÁRNICOS!$CD$13:$CJ$48,6,FALSE),BA$5*$P25/$T$4*$BA$1)</f>
        <v>0</v>
      </c>
      <c r="BB25" s="2">
        <f>+IF($D25&lt;&gt;"",BB$6*$Q25/$T$4*VLOOKUP($M25,CÁRNICOS!$CD$13:$CJ$48,6,FALSE),BB$5*$Q25/$T$4*$BA$1)</f>
        <v>0</v>
      </c>
      <c r="BC25" s="2">
        <f>+IF($D25&lt;&gt;"",BC$6*$R25/$T$4*VLOOKUP($M25,CÁRNICOS!$CD$13:$CJ$48,6,FALSE),BC$5*$R25/$T$4*$BA$1)</f>
        <v>0</v>
      </c>
      <c r="BD25" s="2">
        <f>+IF($D25&lt;&gt;"",BD$6*$S25/$T$4*VLOOKUP($M25,CÁRNICOS!$CD$13:$CJ$48,6,FALSE),BD$5*$S25/$T$4*$BA$1)</f>
        <v>0</v>
      </c>
      <c r="BE25" s="2">
        <f>+IF($D25&lt;&gt;"",BE$6*$T25/$T$4*VLOOKUP($M25,CÁRNICOS!$CD$13:$CJ$48,6,FALSE),BE$5*$T25/$T$4*$BA$1)</f>
        <v>0</v>
      </c>
      <c r="BF25" s="120">
        <f t="shared" si="2"/>
        <v>0</v>
      </c>
      <c r="BG25" s="149">
        <f t="shared" si="3"/>
        <v>0</v>
      </c>
      <c r="BH25" s="120">
        <f t="shared" si="4"/>
        <v>0</v>
      </c>
      <c r="BI25" s="2">
        <f>+IF($D25&lt;&gt;"",BI$6*$P25/$T$4*VLOOKUP($M25,CÁRNICOS!$CD$13:$CJ$48,7,FALSE),BI$5*$P25/$T$4*$BI$1)</f>
        <v>0</v>
      </c>
      <c r="BJ25" s="2">
        <f>+IF($D25&lt;&gt;"",BJ$6*$Q25/$T$4*VLOOKUP($M25,CÁRNICOS!$CD$13:$CJ$48,7,FALSE),BJ$5*$Q25/$T$4*$BI$1)</f>
        <v>0</v>
      </c>
      <c r="BK25" s="2">
        <f>+IF($D25&lt;&gt;"",BK$6*$R25/$T$4*VLOOKUP($M25,CÁRNICOS!$CD$13:$CJ$48,7,FALSE),BK$5*$R25/$T$4*$BI$1)</f>
        <v>0</v>
      </c>
      <c r="BL25" s="2">
        <f>+IF($D25&lt;&gt;"",BL$6*$S25/$T$4*VLOOKUP($M25,CÁRNICOS!$CD$13:$CJ$48,7,FALSE),BL$5*$S25/$T$4*$BI$1)</f>
        <v>0</v>
      </c>
      <c r="BM25" s="2">
        <f>+IF($D25&lt;&gt;"",BM$6*$T25/$T$4*VLOOKUP($M25,CÁRNICOS!$CD$13:$CJ$48,7,FALSE),BM$5*$T25/$T$4*$BI$1)</f>
        <v>0</v>
      </c>
      <c r="BN25" s="120">
        <f t="shared" si="5"/>
        <v>0</v>
      </c>
      <c r="BO25" s="149">
        <f t="shared" si="16"/>
        <v>0</v>
      </c>
      <c r="BP25" s="120">
        <f t="shared" si="17"/>
        <v>0</v>
      </c>
      <c r="BR25" s="74">
        <f t="shared" si="6"/>
        <v>6</v>
      </c>
      <c r="BS25" s="74" t="str">
        <f t="shared" si="7"/>
        <v>LA DORADA</v>
      </c>
      <c r="BT25" s="74" t="str">
        <f t="shared" si="8"/>
        <v>INSTITUCION EDUCATIVA DORADA</v>
      </c>
      <c r="BU25" s="74" t="str">
        <f t="shared" si="9"/>
        <v>ESCUELA KENNEDY</v>
      </c>
      <c r="BV25" s="74">
        <f t="shared" si="10"/>
        <v>0</v>
      </c>
      <c r="BW25" s="74">
        <f t="shared" si="11"/>
        <v>0</v>
      </c>
      <c r="BX25" s="74">
        <f t="shared" si="12"/>
        <v>0</v>
      </c>
      <c r="BY25" s="74">
        <f t="shared" si="13"/>
        <v>1.08</v>
      </c>
      <c r="BZ25" s="74">
        <f t="shared" si="14"/>
        <v>0</v>
      </c>
      <c r="CA25" s="74">
        <f t="shared" si="15"/>
        <v>0</v>
      </c>
      <c r="CD25" s="135" t="str">
        <f>+CONSOLIDADO!C24</f>
        <v>CHINCHINÁ</v>
      </c>
      <c r="CE25" s="136">
        <f t="shared" si="18"/>
        <v>0</v>
      </c>
      <c r="CF25" s="136">
        <f t="shared" si="18"/>
        <v>0</v>
      </c>
      <c r="CG25" s="136">
        <f t="shared" si="18"/>
        <v>0</v>
      </c>
      <c r="CH25" s="136">
        <f t="shared" si="18"/>
        <v>1</v>
      </c>
      <c r="CI25" s="136">
        <f t="shared" si="18"/>
        <v>0</v>
      </c>
      <c r="CJ25" s="136">
        <f t="shared" si="18"/>
        <v>0</v>
      </c>
    </row>
    <row r="26" spans="1:88" ht="29.95" customHeight="1" x14ac:dyDescent="0.3">
      <c r="B26" s="46">
        <f>+COUNTIF($M$8:M26,M26)</f>
        <v>7</v>
      </c>
      <c r="C26" s="14">
        <f>SUM(P26:T26)</f>
        <v>42</v>
      </c>
      <c r="D26" s="22" t="s">
        <v>73</v>
      </c>
      <c r="E26" s="124"/>
      <c r="F26" s="60"/>
      <c r="G26" s="60"/>
      <c r="H26" s="60"/>
      <c r="I26" s="60"/>
      <c r="J26" s="60"/>
      <c r="K26" s="59"/>
      <c r="L26" s="122">
        <v>6</v>
      </c>
      <c r="M26" s="164" t="s">
        <v>23</v>
      </c>
      <c r="N26" s="164" t="s">
        <v>190</v>
      </c>
      <c r="O26" s="165" t="s">
        <v>192</v>
      </c>
      <c r="P26" s="166">
        <v>17</v>
      </c>
      <c r="Q26" s="166">
        <v>25</v>
      </c>
      <c r="R26" s="167">
        <v>0</v>
      </c>
      <c r="S26" s="74">
        <v>0</v>
      </c>
      <c r="T26" s="74">
        <v>0</v>
      </c>
      <c r="U26" s="2">
        <f>+IF($D26&lt;&gt;"",U$6*$P26/$T$4*VLOOKUP($M26,CÁRNICOS!$CD$13:$CJ$48,2,FALSE),U$5*$P26/$T$4*$U$1)</f>
        <v>0</v>
      </c>
      <c r="V26" s="2">
        <f>+IF($D26&lt;&gt;"",V$6*$Q26/$T$4*VLOOKUP($M26,CÁRNICOS!$CD$13:$CJ$48,2,FALSE),V$5*$Q26/$T$4*$U$1)</f>
        <v>0</v>
      </c>
      <c r="W26" s="2">
        <f>+IF($D26&lt;&gt;"",W$6*$R26/$T$4*VLOOKUP($M26,CÁRNICOS!$CD$13:$CJ$48,2,FALSE),W$5*$R26/$T$4*$U$1)</f>
        <v>0</v>
      </c>
      <c r="X26" s="2">
        <f>+IF($D26&lt;&gt;"",X$6*$S26/$T$4*VLOOKUP($M26,CÁRNICOS!$CD$13:$CJ$48,2,FALSE),X$5*$S26/$T$4*$U$1)</f>
        <v>0</v>
      </c>
      <c r="Y26" s="2">
        <f>+IF($D26&lt;&gt;"",Y$6*$T26/$T$4*VLOOKUP($M26,CÁRNICOS!$CD$13:$CJ$48,2,FALSE),Y$5*$T26/$T$4*$U$1)</f>
        <v>0</v>
      </c>
      <c r="Z26" s="146">
        <f>IF($E26&lt;&gt;"",0,SUM(U26:Y26))</f>
        <v>0</v>
      </c>
      <c r="AA26" s="149">
        <f>+ROUNDUP(Z26/AA$4,0)</f>
        <v>0</v>
      </c>
      <c r="AB26" s="120">
        <f>+IF(Z26*AA26=0,0,(ROUNDUP(Z26/AA26,3)))</f>
        <v>0</v>
      </c>
      <c r="AC26" s="147">
        <f>+IF($D26&lt;&gt;"",AC$6*$P26/$T$4*VLOOKUP($M26,CÁRNICOS!$CD$13:$CJ$48,3,FALSE),AC$5*$P26/$T$4*$AC$1)</f>
        <v>0</v>
      </c>
      <c r="AD26" s="147">
        <f>+IF($D26&lt;&gt;"",AD$6*$Q26/$T$4*VLOOKUP($M26,CÁRNICOS!$CD$13:$CJ$48,3,FALSE),AD$5*$Q26/$T$4*$AC$1)</f>
        <v>0</v>
      </c>
      <c r="AE26" s="2">
        <f>+IF($D26&lt;&gt;"",AE$6*$R26/$T$4*VLOOKUP($M26,CÁRNICOS!$CD$13:$CJ$48,3,FALSE),AE$5*$R26/$T$4*$AC$1)</f>
        <v>0</v>
      </c>
      <c r="AF26" s="2">
        <f>+IF($D26&lt;&gt;"",AF$6*$S26/$T$4*VLOOKUP($M26,CÁRNICOS!$CD$13:$CJ$48,3,FALSE),AF$5*$S26/$T$4*$AC$1)</f>
        <v>0</v>
      </c>
      <c r="AG26" s="2">
        <f>+IF($D26&lt;&gt;"",AG$6*$T26/$T$4*VLOOKUP($M26,CÁRNICOS!$CD$13:$CJ$48,3,FALSE),AG$5*$T26/$T$4*$AC$1)</f>
        <v>0</v>
      </c>
      <c r="AH26" s="120">
        <f>IF($F26&lt;&gt;"",0,SUM(AC26:AG26))</f>
        <v>0</v>
      </c>
      <c r="AI26" s="149">
        <f>+ROUNDUP(AH26/AI$4,0)</f>
        <v>0</v>
      </c>
      <c r="AJ26" s="120">
        <f>+IF(AH26*AI26=0,0,(ROUNDUP(AH26/AI26,3)))</f>
        <v>0</v>
      </c>
      <c r="AK26" s="2">
        <f>+IF($D26&lt;&gt;"",AK$6*$P26/$T$4*VLOOKUP($M26,CÁRNICOS!$CD$13:$CJ$48,4,FALSE),AK$5*$P26/$T$4*$AK$1)</f>
        <v>0</v>
      </c>
      <c r="AL26" s="2">
        <f>+IF($D26&lt;&gt;"",AL$6*$Q26/$T$4*VLOOKUP($M26,CÁRNICOS!$CD$13:$CJ$48,4,FALSE),AL$5*$Q26/$T$4*$AK$1)</f>
        <v>0</v>
      </c>
      <c r="AM26" s="2">
        <f>+IF($D26&lt;&gt;"",AM$6*$R26/$T$4*VLOOKUP($M26,CÁRNICOS!$CD$13:$CJ$48,4,FALSE),AM$5*$R26/$T$4*$AK$1)</f>
        <v>0</v>
      </c>
      <c r="AN26" s="2">
        <f>+IF($D26&lt;&gt;"",AN$6*$S26/$T$4*VLOOKUP($M26,CÁRNICOS!$CD$13:$CJ$48,4,FALSE),AN$5*$S26/$T$4*$AK$1)</f>
        <v>0</v>
      </c>
      <c r="AO26" s="2">
        <f>+IF($D26&lt;&gt;"",AO$6*$T26/$T$4*VLOOKUP($M26,CÁRNICOS!$CD$13:$CJ$48,4,FALSE),AO$5*$T26/$T$4*$AK$1)</f>
        <v>0</v>
      </c>
      <c r="AP26" s="120">
        <f>IF($G26&lt;&gt;"",0,SUM(AK26:AO26))</f>
        <v>0</v>
      </c>
      <c r="AQ26" s="149">
        <f>+ROUNDUP(AP26/AQ$4,0)</f>
        <v>0</v>
      </c>
      <c r="AR26" s="120">
        <f>+IF(AP26*AQ26=0,0,(ROUNDUP(AP26/AQ26,3)))</f>
        <v>0</v>
      </c>
      <c r="AS26" s="2">
        <f>+IF($D26&lt;&gt;"",AS$6*$P26/$T$4*VLOOKUP($M26,CÁRNICOS!$CD$13:$CJ$48,5,FALSE),AS$5*$P26/$T$4*$AS$1)</f>
        <v>0.91800000000000004</v>
      </c>
      <c r="AT26" s="2">
        <f>+IF($D26&lt;&gt;"",AT$6*$Q26/$T$4*VLOOKUP($M26,CÁRNICOS!$CD$13:$CJ$48,5,FALSE),AT$5*$Q26/$T$4*$AS$1)</f>
        <v>1.35</v>
      </c>
      <c r="AU26" s="2">
        <f>+IF($D26&lt;&gt;"",AU$6*$R26/$T$4*VLOOKUP($M26,CÁRNICOS!$CD$13:$CJ$48,5,FALSE),AU$5*$R26/$T$4*$AS$1)</f>
        <v>0</v>
      </c>
      <c r="AV26" s="2">
        <f>+IF($D26&lt;&gt;"",AV$6*$S26/$T$4*VLOOKUP($M26,CÁRNICOS!$CD$13:$CJ$48,5,FALSE),AV$5*$S26/$T$4*$AS$1)</f>
        <v>0</v>
      </c>
      <c r="AW26" s="2">
        <f>+IF($D26&lt;&gt;"",AW$6*$T26/$T$4*VLOOKUP($M26,CÁRNICOS!$CD$13:$CJ$48,5,FALSE),AW$5*$T26/$T$4*$AS$1)</f>
        <v>0</v>
      </c>
      <c r="AX26" s="120">
        <f>IF($H26&lt;&gt;"",0,SUM(AS26:AW26))</f>
        <v>2.2680000000000002</v>
      </c>
      <c r="AY26" s="149">
        <f>+ROUNDUP(AX26/AY$4,0)</f>
        <v>1</v>
      </c>
      <c r="AZ26" s="120">
        <f>+IF(AX26*AY26=0,0,(ROUNDUP(AX26/AY26,3)))</f>
        <v>2.2679999999999998</v>
      </c>
      <c r="BA26" s="2">
        <f>+IF($D26&lt;&gt;"",BA$6*$P26/$T$4*VLOOKUP($M26,CÁRNICOS!$CD$13:$CJ$48,6,FALSE),BA$5*$P26/$T$4*$BA$1)</f>
        <v>0</v>
      </c>
      <c r="BB26" s="2">
        <f>+IF($D26&lt;&gt;"",BB$6*$Q26/$T$4*VLOOKUP($M26,CÁRNICOS!$CD$13:$CJ$48,6,FALSE),BB$5*$Q26/$T$4*$BA$1)</f>
        <v>0</v>
      </c>
      <c r="BC26" s="2">
        <f>+IF($D26&lt;&gt;"",BC$6*$R26/$T$4*VLOOKUP($M26,CÁRNICOS!$CD$13:$CJ$48,6,FALSE),BC$5*$R26/$T$4*$BA$1)</f>
        <v>0</v>
      </c>
      <c r="BD26" s="2">
        <f>+IF($D26&lt;&gt;"",BD$6*$S26/$T$4*VLOOKUP($M26,CÁRNICOS!$CD$13:$CJ$48,6,FALSE),BD$5*$S26/$T$4*$BA$1)</f>
        <v>0</v>
      </c>
      <c r="BE26" s="2">
        <f>+IF($D26&lt;&gt;"",BE$6*$T26/$T$4*VLOOKUP($M26,CÁRNICOS!$CD$13:$CJ$48,6,FALSE),BE$5*$T26/$T$4*$BA$1)</f>
        <v>0</v>
      </c>
      <c r="BF26" s="120">
        <f t="shared" si="2"/>
        <v>0</v>
      </c>
      <c r="BG26" s="149">
        <f t="shared" si="3"/>
        <v>0</v>
      </c>
      <c r="BH26" s="120">
        <f t="shared" si="4"/>
        <v>0</v>
      </c>
      <c r="BI26" s="2">
        <f>+IF($D26&lt;&gt;"",BI$6*$P26/$T$4*VLOOKUP($M26,CÁRNICOS!$CD$13:$CJ$48,7,FALSE),BI$5*$P26/$T$4*$BI$1)</f>
        <v>0</v>
      </c>
      <c r="BJ26" s="2">
        <f>+IF($D26&lt;&gt;"",BJ$6*$Q26/$T$4*VLOOKUP($M26,CÁRNICOS!$CD$13:$CJ$48,7,FALSE),BJ$5*$Q26/$T$4*$BI$1)</f>
        <v>0</v>
      </c>
      <c r="BK26" s="2">
        <f>+IF($D26&lt;&gt;"",BK$6*$R26/$T$4*VLOOKUP($M26,CÁRNICOS!$CD$13:$CJ$48,7,FALSE),BK$5*$R26/$T$4*$BI$1)</f>
        <v>0</v>
      </c>
      <c r="BL26" s="2">
        <f>+IF($D26&lt;&gt;"",BL$6*$S26/$T$4*VLOOKUP($M26,CÁRNICOS!$CD$13:$CJ$48,7,FALSE),BL$5*$S26/$T$4*$BI$1)</f>
        <v>0</v>
      </c>
      <c r="BM26" s="2">
        <f>+IF($D26&lt;&gt;"",BM$6*$T26/$T$4*VLOOKUP($M26,CÁRNICOS!$CD$13:$CJ$48,7,FALSE),BM$5*$T26/$T$4*$BI$1)</f>
        <v>0</v>
      </c>
      <c r="BN26" s="120">
        <f t="shared" si="5"/>
        <v>0</v>
      </c>
      <c r="BO26" s="149">
        <f t="shared" si="16"/>
        <v>0</v>
      </c>
      <c r="BP26" s="120">
        <f t="shared" si="17"/>
        <v>0</v>
      </c>
      <c r="BR26" s="74">
        <f t="shared" si="6"/>
        <v>6</v>
      </c>
      <c r="BS26" s="74" t="str">
        <f t="shared" si="7"/>
        <v>LA DORADA</v>
      </c>
      <c r="BT26" s="74" t="str">
        <f t="shared" si="8"/>
        <v>INSTITUCION EDUCATIVA DORADA</v>
      </c>
      <c r="BU26" s="74" t="str">
        <f t="shared" si="9"/>
        <v>ESCUELA POLICARPA SALAVARRIETA</v>
      </c>
      <c r="BV26" s="74">
        <f t="shared" si="10"/>
        <v>0</v>
      </c>
      <c r="BW26" s="74">
        <f t="shared" si="11"/>
        <v>0</v>
      </c>
      <c r="BX26" s="74">
        <f t="shared" si="12"/>
        <v>0</v>
      </c>
      <c r="BY26" s="74">
        <f t="shared" si="13"/>
        <v>2.2680000000000002</v>
      </c>
      <c r="BZ26" s="74">
        <f t="shared" si="14"/>
        <v>0</v>
      </c>
      <c r="CA26" s="74">
        <f t="shared" si="15"/>
        <v>0</v>
      </c>
      <c r="CD26" s="135" t="str">
        <f>+CONSOLIDADO!C25</f>
        <v>PALESTINA</v>
      </c>
      <c r="CE26" s="136">
        <f t="shared" si="18"/>
        <v>0</v>
      </c>
      <c r="CF26" s="136">
        <f t="shared" si="18"/>
        <v>0</v>
      </c>
      <c r="CG26" s="136">
        <f t="shared" si="18"/>
        <v>0</v>
      </c>
      <c r="CH26" s="136">
        <f t="shared" si="18"/>
        <v>1</v>
      </c>
      <c r="CI26" s="136">
        <f t="shared" si="18"/>
        <v>0</v>
      </c>
      <c r="CJ26" s="136">
        <f t="shared" si="18"/>
        <v>0</v>
      </c>
    </row>
    <row r="27" spans="1:88" ht="29.95" customHeight="1" x14ac:dyDescent="0.3">
      <c r="B27" s="46">
        <f>+B26+1</f>
        <v>8</v>
      </c>
      <c r="C27" s="14">
        <f>SUM(P27:T27)</f>
        <v>108</v>
      </c>
      <c r="D27" s="22" t="s">
        <v>73</v>
      </c>
      <c r="E27" s="124"/>
      <c r="F27" s="60"/>
      <c r="G27" s="60"/>
      <c r="H27" s="60"/>
      <c r="I27" s="60"/>
      <c r="J27" s="60"/>
      <c r="K27" s="59"/>
      <c r="L27" s="122">
        <v>6</v>
      </c>
      <c r="M27" s="164" t="s">
        <v>23</v>
      </c>
      <c r="N27" s="164" t="s">
        <v>197</v>
      </c>
      <c r="O27" s="165" t="s">
        <v>198</v>
      </c>
      <c r="P27" s="166">
        <v>33</v>
      </c>
      <c r="Q27" s="166">
        <v>75</v>
      </c>
      <c r="R27" s="167">
        <v>0</v>
      </c>
      <c r="S27" s="74">
        <v>0</v>
      </c>
      <c r="T27" s="74">
        <v>0</v>
      </c>
      <c r="U27" s="2">
        <f>+IF($D27&lt;&gt;"",U$6*$P27/$T$4*VLOOKUP($M27,CÁRNICOS!$CD$13:$CJ$48,2,FALSE),U$5*$P27/$T$4*$U$1)</f>
        <v>0</v>
      </c>
      <c r="V27" s="2">
        <f>+IF($D27&lt;&gt;"",V$6*$Q27/$T$4*VLOOKUP($M27,CÁRNICOS!$CD$13:$CJ$48,2,FALSE),V$5*$Q27/$T$4*$U$1)</f>
        <v>0</v>
      </c>
      <c r="W27" s="2">
        <f>+IF($D27&lt;&gt;"",W$6*$R27/$T$4*VLOOKUP($M27,CÁRNICOS!$CD$13:$CJ$48,2,FALSE),W$5*$R27/$T$4*$U$1)</f>
        <v>0</v>
      </c>
      <c r="X27" s="2">
        <f>+IF($D27&lt;&gt;"",X$6*$S27/$T$4*VLOOKUP($M27,CÁRNICOS!$CD$13:$CJ$48,2,FALSE),X$5*$S27/$T$4*$U$1)</f>
        <v>0</v>
      </c>
      <c r="Y27" s="2">
        <f>+IF($D27&lt;&gt;"",Y$6*$T27/$T$4*VLOOKUP($M27,CÁRNICOS!$CD$13:$CJ$48,2,FALSE),Y$5*$T27/$T$4*$U$1)</f>
        <v>0</v>
      </c>
      <c r="Z27" s="146">
        <f>IF($E27&lt;&gt;"",0,SUM(U27:Y27))</f>
        <v>0</v>
      </c>
      <c r="AA27" s="149">
        <f>+ROUNDUP(Z27/AA$4,0)</f>
        <v>0</v>
      </c>
      <c r="AB27" s="120">
        <f>+IF(Z27*AA27=0,0,(ROUNDUP(Z27/AA27,3)))</f>
        <v>0</v>
      </c>
      <c r="AC27" s="147">
        <f>+IF($D27&lt;&gt;"",AC$6*$P27/$T$4*VLOOKUP($M27,CÁRNICOS!$CD$13:$CJ$48,3,FALSE),AC$5*$P27/$T$4*$AC$1)</f>
        <v>0</v>
      </c>
      <c r="AD27" s="147">
        <f>+IF($D27&lt;&gt;"",AD$6*$Q27/$T$4*VLOOKUP($M27,CÁRNICOS!$CD$13:$CJ$48,3,FALSE),AD$5*$Q27/$T$4*$AC$1)</f>
        <v>0</v>
      </c>
      <c r="AE27" s="2">
        <f>+IF($D27&lt;&gt;"",AE$6*$R27/$T$4*VLOOKUP($M27,CÁRNICOS!$CD$13:$CJ$48,3,FALSE),AE$5*$R27/$T$4*$AC$1)</f>
        <v>0</v>
      </c>
      <c r="AF27" s="2">
        <f>+IF($D27&lt;&gt;"",AF$6*$S27/$T$4*VLOOKUP($M27,CÁRNICOS!$CD$13:$CJ$48,3,FALSE),AF$5*$S27/$T$4*$AC$1)</f>
        <v>0</v>
      </c>
      <c r="AG27" s="2">
        <f>+IF($D27&lt;&gt;"",AG$6*$T27/$T$4*VLOOKUP($M27,CÁRNICOS!$CD$13:$CJ$48,3,FALSE),AG$5*$T27/$T$4*$AC$1)</f>
        <v>0</v>
      </c>
      <c r="AH27" s="120">
        <f>IF($F27&lt;&gt;"",0,SUM(AC27:AG27))</f>
        <v>0</v>
      </c>
      <c r="AI27" s="149">
        <f>+ROUNDUP(AH27/AI$4,0)</f>
        <v>0</v>
      </c>
      <c r="AJ27" s="120">
        <f>+IF(AH27*AI27=0,0,(ROUNDUP(AH27/AI27,3)))</f>
        <v>0</v>
      </c>
      <c r="AK27" s="2">
        <f>+IF($D27&lt;&gt;"",AK$6*$P27/$T$4*VLOOKUP($M27,CÁRNICOS!$CD$13:$CJ$48,4,FALSE),AK$5*$P27/$T$4*$AK$1)</f>
        <v>0</v>
      </c>
      <c r="AL27" s="2">
        <f>+IF($D27&lt;&gt;"",AL$6*$Q27/$T$4*VLOOKUP($M27,CÁRNICOS!$CD$13:$CJ$48,4,FALSE),AL$5*$Q27/$T$4*$AK$1)</f>
        <v>0</v>
      </c>
      <c r="AM27" s="2">
        <f>+IF($D27&lt;&gt;"",AM$6*$R27/$T$4*VLOOKUP($M27,CÁRNICOS!$CD$13:$CJ$48,4,FALSE),AM$5*$R27/$T$4*$AK$1)</f>
        <v>0</v>
      </c>
      <c r="AN27" s="2">
        <f>+IF($D27&lt;&gt;"",AN$6*$S27/$T$4*VLOOKUP($M27,CÁRNICOS!$CD$13:$CJ$48,4,FALSE),AN$5*$S27/$T$4*$AK$1)</f>
        <v>0</v>
      </c>
      <c r="AO27" s="2">
        <f>+IF($D27&lt;&gt;"",AO$6*$T27/$T$4*VLOOKUP($M27,CÁRNICOS!$CD$13:$CJ$48,4,FALSE),AO$5*$T27/$T$4*$AK$1)</f>
        <v>0</v>
      </c>
      <c r="AP27" s="120">
        <f>IF($G27&lt;&gt;"",0,SUM(AK27:AO27))</f>
        <v>0</v>
      </c>
      <c r="AQ27" s="149">
        <f>+ROUNDUP(AP27/AQ$4,0)</f>
        <v>0</v>
      </c>
      <c r="AR27" s="120">
        <f>+IF(AP27*AQ27=0,0,(ROUNDUP(AP27/AQ27,3)))</f>
        <v>0</v>
      </c>
      <c r="AS27" s="2">
        <f>+IF($D27&lt;&gt;"",AS$6*$P27/$T$4*VLOOKUP($M27,CÁRNICOS!$CD$13:$CJ$48,5,FALSE),AS$5*$P27/$T$4*$AS$1)</f>
        <v>1.782</v>
      </c>
      <c r="AT27" s="2">
        <f>+IF($D27&lt;&gt;"",AT$6*$Q27/$T$4*VLOOKUP($M27,CÁRNICOS!$CD$13:$CJ$48,5,FALSE),AT$5*$Q27/$T$4*$AS$1)</f>
        <v>4.05</v>
      </c>
      <c r="AU27" s="2">
        <f>+IF($D27&lt;&gt;"",AU$6*$R27/$T$4*VLOOKUP($M27,CÁRNICOS!$CD$13:$CJ$48,5,FALSE),AU$5*$R27/$T$4*$AS$1)</f>
        <v>0</v>
      </c>
      <c r="AV27" s="2">
        <f>+IF($D27&lt;&gt;"",AV$6*$S27/$T$4*VLOOKUP($M27,CÁRNICOS!$CD$13:$CJ$48,5,FALSE),AV$5*$S27/$T$4*$AS$1)</f>
        <v>0</v>
      </c>
      <c r="AW27" s="2">
        <f>+IF($D27&lt;&gt;"",AW$6*$T27/$T$4*VLOOKUP($M27,CÁRNICOS!$CD$13:$CJ$48,5,FALSE),AW$5*$T27/$T$4*$AS$1)</f>
        <v>0</v>
      </c>
      <c r="AX27" s="120">
        <f>IF($H27&lt;&gt;"",0,SUM(AS27:AW27))</f>
        <v>5.8319999999999999</v>
      </c>
      <c r="AY27" s="149">
        <f>+ROUNDUP(AX27/AY$4,0)</f>
        <v>1</v>
      </c>
      <c r="AZ27" s="120">
        <f>+IF(AX27*AY27=0,0,(ROUNDUP(AX27/AY27,3)))</f>
        <v>5.8319999999999999</v>
      </c>
      <c r="BA27" s="2">
        <f>+IF($D27&lt;&gt;"",BA$6*$P27/$T$4*VLOOKUP($M27,CÁRNICOS!$CD$13:$CJ$48,6,FALSE),BA$5*$P27/$T$4*$BA$1)</f>
        <v>0</v>
      </c>
      <c r="BB27" s="2">
        <f>+IF($D27&lt;&gt;"",BB$6*$Q27/$T$4*VLOOKUP($M27,CÁRNICOS!$CD$13:$CJ$48,6,FALSE),BB$5*$Q27/$T$4*$BA$1)</f>
        <v>0</v>
      </c>
      <c r="BC27" s="2">
        <f>+IF($D27&lt;&gt;"",BC$6*$R27/$T$4*VLOOKUP($M27,CÁRNICOS!$CD$13:$CJ$48,6,FALSE),BC$5*$R27/$T$4*$BA$1)</f>
        <v>0</v>
      </c>
      <c r="BD27" s="2">
        <f>+IF($D27&lt;&gt;"",BD$6*$S27/$T$4*VLOOKUP($M27,CÁRNICOS!$CD$13:$CJ$48,6,FALSE),BD$5*$S27/$T$4*$BA$1)</f>
        <v>0</v>
      </c>
      <c r="BE27" s="2">
        <f>+IF($D27&lt;&gt;"",BE$6*$T27/$T$4*VLOOKUP($M27,CÁRNICOS!$CD$13:$CJ$48,6,FALSE),BE$5*$T27/$T$4*$BA$1)</f>
        <v>0</v>
      </c>
      <c r="BF27" s="120">
        <f t="shared" si="2"/>
        <v>0</v>
      </c>
      <c r="BG27" s="149">
        <f t="shared" si="3"/>
        <v>0</v>
      </c>
      <c r="BH27" s="120">
        <f t="shared" si="4"/>
        <v>0</v>
      </c>
      <c r="BI27" s="2">
        <f>+IF($D27&lt;&gt;"",BI$6*$P27/$T$4*VLOOKUP($M27,CÁRNICOS!$CD$13:$CJ$48,7,FALSE),BI$5*$P27/$T$4*$BI$1)</f>
        <v>0</v>
      </c>
      <c r="BJ27" s="2">
        <f>+IF($D27&lt;&gt;"",BJ$6*$Q27/$T$4*VLOOKUP($M27,CÁRNICOS!$CD$13:$CJ$48,7,FALSE),BJ$5*$Q27/$T$4*$BI$1)</f>
        <v>0</v>
      </c>
      <c r="BK27" s="2">
        <f>+IF($D27&lt;&gt;"",BK$6*$R27/$T$4*VLOOKUP($M27,CÁRNICOS!$CD$13:$CJ$48,7,FALSE),BK$5*$R27/$T$4*$BI$1)</f>
        <v>0</v>
      </c>
      <c r="BL27" s="2">
        <f>+IF($D27&lt;&gt;"",BL$6*$S27/$T$4*VLOOKUP($M27,CÁRNICOS!$CD$13:$CJ$48,7,FALSE),BL$5*$S27/$T$4*$BI$1)</f>
        <v>0</v>
      </c>
      <c r="BM27" s="2">
        <f>+IF($D27&lt;&gt;"",BM$6*$T27/$T$4*VLOOKUP($M27,CÁRNICOS!$CD$13:$CJ$48,7,FALSE),BM$5*$T27/$T$4*$BI$1)</f>
        <v>0</v>
      </c>
      <c r="BN27" s="120">
        <f t="shared" si="5"/>
        <v>0</v>
      </c>
      <c r="BO27" s="149">
        <f t="shared" si="16"/>
        <v>0</v>
      </c>
      <c r="BP27" s="120">
        <f t="shared" si="17"/>
        <v>0</v>
      </c>
      <c r="BR27" s="74">
        <f t="shared" si="6"/>
        <v>6</v>
      </c>
      <c r="BS27" s="74" t="str">
        <f t="shared" si="7"/>
        <v>LA DORADA</v>
      </c>
      <c r="BT27" s="74" t="str">
        <f t="shared" si="8"/>
        <v>INSTITUCION EDUCATIVA NUESTRA SEÑORA DEL CARMEN</v>
      </c>
      <c r="BU27" s="74" t="str">
        <f t="shared" si="9"/>
        <v>ESCUELA ANTONIO JOSE DE SUCRE</v>
      </c>
      <c r="BV27" s="74">
        <f t="shared" si="10"/>
        <v>0</v>
      </c>
      <c r="BW27" s="74">
        <f t="shared" si="11"/>
        <v>0</v>
      </c>
      <c r="BX27" s="74">
        <f t="shared" si="12"/>
        <v>0</v>
      </c>
      <c r="BY27" s="74">
        <f t="shared" si="13"/>
        <v>5.8319999999999999</v>
      </c>
      <c r="BZ27" s="74">
        <f t="shared" si="14"/>
        <v>0</v>
      </c>
      <c r="CA27" s="74">
        <f t="shared" si="15"/>
        <v>0</v>
      </c>
      <c r="CD27" s="135" t="str">
        <f>+CONSOLIDADO!C26</f>
        <v>VILLAMARÍA</v>
      </c>
      <c r="CE27" s="136">
        <f t="shared" si="18"/>
        <v>0</v>
      </c>
      <c r="CF27" s="136">
        <f t="shared" si="18"/>
        <v>0</v>
      </c>
      <c r="CG27" s="136">
        <f t="shared" si="18"/>
        <v>0</v>
      </c>
      <c r="CH27" s="136">
        <f t="shared" si="18"/>
        <v>1</v>
      </c>
      <c r="CI27" s="136">
        <f t="shared" si="18"/>
        <v>0</v>
      </c>
      <c r="CJ27" s="136">
        <f t="shared" si="18"/>
        <v>0</v>
      </c>
    </row>
    <row r="28" spans="1:88" ht="29.95" customHeight="1" x14ac:dyDescent="0.3">
      <c r="B28" s="46">
        <f>+B27+1</f>
        <v>9</v>
      </c>
      <c r="C28" s="14">
        <f>SUM(P28:T28)</f>
        <v>61</v>
      </c>
      <c r="D28" s="22" t="s">
        <v>73</v>
      </c>
      <c r="E28" s="124"/>
      <c r="F28" s="60"/>
      <c r="G28" s="60"/>
      <c r="H28" s="60"/>
      <c r="I28" s="60"/>
      <c r="J28" s="60"/>
      <c r="K28" s="59"/>
      <c r="L28" s="122">
        <v>6</v>
      </c>
      <c r="M28" s="164" t="s">
        <v>23</v>
      </c>
      <c r="N28" s="164" t="s">
        <v>197</v>
      </c>
      <c r="O28" s="165" t="s">
        <v>199</v>
      </c>
      <c r="P28" s="166">
        <v>0</v>
      </c>
      <c r="Q28" s="166">
        <v>61</v>
      </c>
      <c r="R28" s="167">
        <v>0</v>
      </c>
      <c r="S28" s="74">
        <v>0</v>
      </c>
      <c r="T28" s="74">
        <v>0</v>
      </c>
      <c r="U28" s="2">
        <f>+IF($D28&lt;&gt;"",U$6*$P28/$T$4*VLOOKUP($M28,CÁRNICOS!$CD$13:$CJ$48,2,FALSE),U$5*$P28/$T$4*$U$1)</f>
        <v>0</v>
      </c>
      <c r="V28" s="2">
        <f>+IF($D28&lt;&gt;"",V$6*$Q28/$T$4*VLOOKUP($M28,CÁRNICOS!$CD$13:$CJ$48,2,FALSE),V$5*$Q28/$T$4*$U$1)</f>
        <v>0</v>
      </c>
      <c r="W28" s="2">
        <f>+IF($D28&lt;&gt;"",W$6*$R28/$T$4*VLOOKUP($M28,CÁRNICOS!$CD$13:$CJ$48,2,FALSE),W$5*$R28/$T$4*$U$1)</f>
        <v>0</v>
      </c>
      <c r="X28" s="2">
        <f>+IF($D28&lt;&gt;"",X$6*$S28/$T$4*VLOOKUP($M28,CÁRNICOS!$CD$13:$CJ$48,2,FALSE),X$5*$S28/$T$4*$U$1)</f>
        <v>0</v>
      </c>
      <c r="Y28" s="2">
        <f>+IF($D28&lt;&gt;"",Y$6*$T28/$T$4*VLOOKUP($M28,CÁRNICOS!$CD$13:$CJ$48,2,FALSE),Y$5*$T28/$T$4*$U$1)</f>
        <v>0</v>
      </c>
      <c r="Z28" s="146">
        <f>IF($E28&lt;&gt;"",0,SUM(U28:Y28))</f>
        <v>0</v>
      </c>
      <c r="AA28" s="149">
        <f>+ROUNDUP(Z28/AA$4,0)</f>
        <v>0</v>
      </c>
      <c r="AB28" s="120">
        <f>+IF(Z28*AA28=0,0,(ROUNDUP(Z28/AA28,3)))</f>
        <v>0</v>
      </c>
      <c r="AC28" s="147">
        <f>+IF($D28&lt;&gt;"",AC$6*$P28/$T$4*VLOOKUP($M28,CÁRNICOS!$CD$13:$CJ$48,3,FALSE),AC$5*$P28/$T$4*$AC$1)</f>
        <v>0</v>
      </c>
      <c r="AD28" s="147">
        <f>+IF($D28&lt;&gt;"",AD$6*$Q28/$T$4*VLOOKUP($M28,CÁRNICOS!$CD$13:$CJ$48,3,FALSE),AD$5*$Q28/$T$4*$AC$1)</f>
        <v>0</v>
      </c>
      <c r="AE28" s="2">
        <f>+IF($D28&lt;&gt;"",AE$6*$R28/$T$4*VLOOKUP($M28,CÁRNICOS!$CD$13:$CJ$48,3,FALSE),AE$5*$R28/$T$4*$AC$1)</f>
        <v>0</v>
      </c>
      <c r="AF28" s="2">
        <f>+IF($D28&lt;&gt;"",AF$6*$S28/$T$4*VLOOKUP($M28,CÁRNICOS!$CD$13:$CJ$48,3,FALSE),AF$5*$S28/$T$4*$AC$1)</f>
        <v>0</v>
      </c>
      <c r="AG28" s="2">
        <f>+IF($D28&lt;&gt;"",AG$6*$T28/$T$4*VLOOKUP($M28,CÁRNICOS!$CD$13:$CJ$48,3,FALSE),AG$5*$T28/$T$4*$AC$1)</f>
        <v>0</v>
      </c>
      <c r="AH28" s="120">
        <f>IF($F28&lt;&gt;"",0,SUM(AC28:AG28))</f>
        <v>0</v>
      </c>
      <c r="AI28" s="149">
        <f>+ROUNDUP(AH28/AI$4,0)</f>
        <v>0</v>
      </c>
      <c r="AJ28" s="120">
        <f>+IF(AH28*AI28=0,0,(ROUNDUP(AH28/AI28,3)))</f>
        <v>0</v>
      </c>
      <c r="AK28" s="2">
        <f>+IF($D28&lt;&gt;"",AK$6*$P28/$T$4*VLOOKUP($M28,CÁRNICOS!$CD$13:$CJ$48,4,FALSE),AK$5*$P28/$T$4*$AK$1)</f>
        <v>0</v>
      </c>
      <c r="AL28" s="2">
        <f>+IF($D28&lt;&gt;"",AL$6*$Q28/$T$4*VLOOKUP($M28,CÁRNICOS!$CD$13:$CJ$48,4,FALSE),AL$5*$Q28/$T$4*$AK$1)</f>
        <v>0</v>
      </c>
      <c r="AM28" s="2">
        <f>+IF($D28&lt;&gt;"",AM$6*$R28/$T$4*VLOOKUP($M28,CÁRNICOS!$CD$13:$CJ$48,4,FALSE),AM$5*$R28/$T$4*$AK$1)</f>
        <v>0</v>
      </c>
      <c r="AN28" s="2">
        <f>+IF($D28&lt;&gt;"",AN$6*$S28/$T$4*VLOOKUP($M28,CÁRNICOS!$CD$13:$CJ$48,4,FALSE),AN$5*$S28/$T$4*$AK$1)</f>
        <v>0</v>
      </c>
      <c r="AO28" s="2">
        <f>+IF($D28&lt;&gt;"",AO$6*$T28/$T$4*VLOOKUP($M28,CÁRNICOS!$CD$13:$CJ$48,4,FALSE),AO$5*$T28/$T$4*$AK$1)</f>
        <v>0</v>
      </c>
      <c r="AP28" s="120">
        <f>IF($G28&lt;&gt;"",0,SUM(AK28:AO28))</f>
        <v>0</v>
      </c>
      <c r="AQ28" s="149">
        <f>+ROUNDUP(AP28/AQ$4,0)</f>
        <v>0</v>
      </c>
      <c r="AR28" s="120">
        <f>+IF(AP28*AQ28=0,0,(ROUNDUP(AP28/AQ28,3)))</f>
        <v>0</v>
      </c>
      <c r="AS28" s="2">
        <f>+IF($D28&lt;&gt;"",AS$6*$P28/$T$4*VLOOKUP($M28,CÁRNICOS!$CD$13:$CJ$48,5,FALSE),AS$5*$P28/$T$4*$AS$1)</f>
        <v>0</v>
      </c>
      <c r="AT28" s="2">
        <f>+IF($D28&lt;&gt;"",AT$6*$Q28/$T$4*VLOOKUP($M28,CÁRNICOS!$CD$13:$CJ$48,5,FALSE),AT$5*$Q28/$T$4*$AS$1)</f>
        <v>3.294</v>
      </c>
      <c r="AU28" s="2">
        <f>+IF($D28&lt;&gt;"",AU$6*$R28/$T$4*VLOOKUP($M28,CÁRNICOS!$CD$13:$CJ$48,5,FALSE),AU$5*$R28/$T$4*$AS$1)</f>
        <v>0</v>
      </c>
      <c r="AV28" s="2">
        <f>+IF($D28&lt;&gt;"",AV$6*$S28/$T$4*VLOOKUP($M28,CÁRNICOS!$CD$13:$CJ$48,5,FALSE),AV$5*$S28/$T$4*$AS$1)</f>
        <v>0</v>
      </c>
      <c r="AW28" s="2">
        <f>+IF($D28&lt;&gt;"",AW$6*$T28/$T$4*VLOOKUP($M28,CÁRNICOS!$CD$13:$CJ$48,5,FALSE),AW$5*$T28/$T$4*$AS$1)</f>
        <v>0</v>
      </c>
      <c r="AX28" s="120">
        <f>IF($H28&lt;&gt;"",0,SUM(AS28:AW28))</f>
        <v>3.294</v>
      </c>
      <c r="AY28" s="149">
        <f>+ROUNDUP(AX28/AY$4,0)</f>
        <v>1</v>
      </c>
      <c r="AZ28" s="120">
        <f>+IF(AX28*AY28=0,0,(ROUNDUP(AX28/AY28,3)))</f>
        <v>3.294</v>
      </c>
      <c r="BA28" s="2">
        <f>+IF($D28&lt;&gt;"",BA$6*$P28/$T$4*VLOOKUP($M28,CÁRNICOS!$CD$13:$CJ$48,6,FALSE),BA$5*$P28/$T$4*$BA$1)</f>
        <v>0</v>
      </c>
      <c r="BB28" s="2">
        <f>+IF($D28&lt;&gt;"",BB$6*$Q28/$T$4*VLOOKUP($M28,CÁRNICOS!$CD$13:$CJ$48,6,FALSE),BB$5*$Q28/$T$4*$BA$1)</f>
        <v>0</v>
      </c>
      <c r="BC28" s="2">
        <f>+IF($D28&lt;&gt;"",BC$6*$R28/$T$4*VLOOKUP($M28,CÁRNICOS!$CD$13:$CJ$48,6,FALSE),BC$5*$R28/$T$4*$BA$1)</f>
        <v>0</v>
      </c>
      <c r="BD28" s="2">
        <f>+IF($D28&lt;&gt;"",BD$6*$S28/$T$4*VLOOKUP($M28,CÁRNICOS!$CD$13:$CJ$48,6,FALSE),BD$5*$S28/$T$4*$BA$1)</f>
        <v>0</v>
      </c>
      <c r="BE28" s="2">
        <f>+IF($D28&lt;&gt;"",BE$6*$T28/$T$4*VLOOKUP($M28,CÁRNICOS!$CD$13:$CJ$48,6,FALSE),BE$5*$T28/$T$4*$BA$1)</f>
        <v>0</v>
      </c>
      <c r="BF28" s="120">
        <f t="shared" si="2"/>
        <v>0</v>
      </c>
      <c r="BG28" s="149">
        <f t="shared" si="3"/>
        <v>0</v>
      </c>
      <c r="BH28" s="120">
        <f t="shared" si="4"/>
        <v>0</v>
      </c>
      <c r="BI28" s="2">
        <f>+IF($D28&lt;&gt;"",BI$6*$P28/$T$4*VLOOKUP($M28,CÁRNICOS!$CD$13:$CJ$48,7,FALSE),BI$5*$P28/$T$4*$BI$1)</f>
        <v>0</v>
      </c>
      <c r="BJ28" s="2">
        <f>+IF($D28&lt;&gt;"",BJ$6*$Q28/$T$4*VLOOKUP($M28,CÁRNICOS!$CD$13:$CJ$48,7,FALSE),BJ$5*$Q28/$T$4*$BI$1)</f>
        <v>0</v>
      </c>
      <c r="BK28" s="2">
        <f>+IF($D28&lt;&gt;"",BK$6*$R28/$T$4*VLOOKUP($M28,CÁRNICOS!$CD$13:$CJ$48,7,FALSE),BK$5*$R28/$T$4*$BI$1)</f>
        <v>0</v>
      </c>
      <c r="BL28" s="2">
        <f>+IF($D28&lt;&gt;"",BL$6*$S28/$T$4*VLOOKUP($M28,CÁRNICOS!$CD$13:$CJ$48,7,FALSE),BL$5*$S28/$T$4*$BI$1)</f>
        <v>0</v>
      </c>
      <c r="BM28" s="2">
        <f>+IF($D28&lt;&gt;"",BM$6*$T28/$T$4*VLOOKUP($M28,CÁRNICOS!$CD$13:$CJ$48,7,FALSE),BM$5*$T28/$T$4*$BI$1)</f>
        <v>0</v>
      </c>
      <c r="BN28" s="120">
        <f t="shared" si="5"/>
        <v>0</v>
      </c>
      <c r="BO28" s="149">
        <f t="shared" ref="BO28" si="19">+ROUNDUP(BN28/BO$4,0)</f>
        <v>0</v>
      </c>
      <c r="BP28" s="120">
        <f t="shared" ref="BP28" si="20">+IF(BN28*BO28=0,0,(ROUNDUP(BN28/BO28,3)))</f>
        <v>0</v>
      </c>
      <c r="BR28" s="74">
        <f t="shared" ref="BR28" si="21">+L28</f>
        <v>6</v>
      </c>
      <c r="BS28" s="74" t="str">
        <f t="shared" ref="BS28" si="22">+M28</f>
        <v>LA DORADA</v>
      </c>
      <c r="BT28" s="74" t="str">
        <f t="shared" ref="BT28" si="23">+N28</f>
        <v>INSTITUCION EDUCATIVA NUESTRA SEÑORA DEL CARMEN</v>
      </c>
      <c r="BU28" s="74" t="str">
        <f t="shared" ref="BU28" si="24">+O28</f>
        <v>ESCUELA JOSE ANTONIO GALAN</v>
      </c>
      <c r="BV28" s="74">
        <f t="shared" ref="BV28" si="25">+Z28</f>
        <v>0</v>
      </c>
      <c r="BW28" s="74">
        <f t="shared" ref="BW28" si="26">+AH28</f>
        <v>0</v>
      </c>
      <c r="BX28" s="74">
        <f t="shared" ref="BX28" si="27">+AP28</f>
        <v>0</v>
      </c>
      <c r="BY28" s="74">
        <f t="shared" ref="BY28" si="28">+AX28</f>
        <v>3.294</v>
      </c>
      <c r="BZ28" s="74">
        <f t="shared" ref="BZ28" si="29">+BF28</f>
        <v>0</v>
      </c>
      <c r="CA28" s="74">
        <f t="shared" ref="CA28" si="30">+BN28</f>
        <v>0</v>
      </c>
      <c r="CD28" s="135" t="str">
        <f>+CONSOLIDADO!C26</f>
        <v>VILLAMARÍA</v>
      </c>
      <c r="CE28" s="136">
        <f t="shared" si="18"/>
        <v>0</v>
      </c>
      <c r="CF28" s="136">
        <f t="shared" si="18"/>
        <v>0</v>
      </c>
      <c r="CG28" s="136">
        <f t="shared" si="18"/>
        <v>0</v>
      </c>
      <c r="CH28" s="136">
        <f t="shared" si="18"/>
        <v>1</v>
      </c>
      <c r="CI28" s="136">
        <f t="shared" si="18"/>
        <v>0</v>
      </c>
      <c r="CJ28" s="136">
        <f t="shared" si="18"/>
        <v>0</v>
      </c>
    </row>
    <row r="29" spans="1:88" ht="29.95" customHeight="1" x14ac:dyDescent="0.3">
      <c r="B29" s="46">
        <f>+COUNTIF($M$8:M29,M29)</f>
        <v>10</v>
      </c>
      <c r="C29" s="14">
        <f>SUM(P29:T29)</f>
        <v>53</v>
      </c>
      <c r="D29" s="22" t="s">
        <v>73</v>
      </c>
      <c r="E29" s="124"/>
      <c r="F29" s="60"/>
      <c r="G29" s="60"/>
      <c r="H29" s="60"/>
      <c r="I29" s="60"/>
      <c r="J29" s="60"/>
      <c r="K29" s="59"/>
      <c r="L29" s="122">
        <v>6</v>
      </c>
      <c r="M29" s="164" t="s">
        <v>23</v>
      </c>
      <c r="N29" s="164" t="s">
        <v>197</v>
      </c>
      <c r="O29" s="165" t="s">
        <v>200</v>
      </c>
      <c r="P29" s="166">
        <v>26</v>
      </c>
      <c r="Q29" s="166">
        <v>27</v>
      </c>
      <c r="R29" s="167">
        <v>0</v>
      </c>
      <c r="S29" s="74">
        <v>0</v>
      </c>
      <c r="T29" s="74">
        <v>0</v>
      </c>
      <c r="U29" s="2">
        <f>+IF($D29&lt;&gt;"",U$6*$P29/$T$4*VLOOKUP($M29,CÁRNICOS!$CD$13:$CJ$48,2,FALSE),U$5*$P29/$T$4*$U$1)</f>
        <v>0</v>
      </c>
      <c r="V29" s="2">
        <f>+IF($D29&lt;&gt;"",V$6*$Q29/$T$4*VLOOKUP($M29,CÁRNICOS!$CD$13:$CJ$48,2,FALSE),V$5*$Q29/$T$4*$U$1)</f>
        <v>0</v>
      </c>
      <c r="W29" s="2">
        <f>+IF($D29&lt;&gt;"",W$6*$R29/$T$4*VLOOKUP($M29,CÁRNICOS!$CD$13:$CJ$48,2,FALSE),W$5*$R29/$T$4*$U$1)</f>
        <v>0</v>
      </c>
      <c r="X29" s="2">
        <f>+IF($D29&lt;&gt;"",X$6*$S29/$T$4*VLOOKUP($M29,CÁRNICOS!$CD$13:$CJ$48,2,FALSE),X$5*$S29/$T$4*$U$1)</f>
        <v>0</v>
      </c>
      <c r="Y29" s="2">
        <f>+IF($D29&lt;&gt;"",Y$6*$T29/$T$4*VLOOKUP($M29,CÁRNICOS!$CD$13:$CJ$48,2,FALSE),Y$5*$T29/$T$4*$U$1)</f>
        <v>0</v>
      </c>
      <c r="Z29" s="146">
        <f>IF($E29&lt;&gt;"",0,SUM(U29:Y29))</f>
        <v>0</v>
      </c>
      <c r="AA29" s="149">
        <f>+ROUNDUP(Z29/AA$4,0)</f>
        <v>0</v>
      </c>
      <c r="AB29" s="120">
        <f>+IF(Z29*AA29=0,0,(ROUNDUP(Z29/AA29,3)))</f>
        <v>0</v>
      </c>
      <c r="AC29" s="147">
        <f>+IF($D29&lt;&gt;"",AC$6*$P29/$T$4*VLOOKUP($M29,CÁRNICOS!$CD$13:$CJ$48,3,FALSE),AC$5*$P29/$T$4*$AC$1)</f>
        <v>0</v>
      </c>
      <c r="AD29" s="147">
        <f>+IF($D29&lt;&gt;"",AD$6*$Q29/$T$4*VLOOKUP($M29,CÁRNICOS!$CD$13:$CJ$48,3,FALSE),AD$5*$Q29/$T$4*$AC$1)</f>
        <v>0</v>
      </c>
      <c r="AE29" s="2">
        <f>+IF($D29&lt;&gt;"",AE$6*$R29/$T$4*VLOOKUP($M29,CÁRNICOS!$CD$13:$CJ$48,3,FALSE),AE$5*$R29/$T$4*$AC$1)</f>
        <v>0</v>
      </c>
      <c r="AF29" s="2">
        <f>+IF($D29&lt;&gt;"",AF$6*$S29/$T$4*VLOOKUP($M29,CÁRNICOS!$CD$13:$CJ$48,3,FALSE),AF$5*$S29/$T$4*$AC$1)</f>
        <v>0</v>
      </c>
      <c r="AG29" s="2">
        <f>+IF($D29&lt;&gt;"",AG$6*$T29/$T$4*VLOOKUP($M29,CÁRNICOS!$CD$13:$CJ$48,3,FALSE),AG$5*$T29/$T$4*$AC$1)</f>
        <v>0</v>
      </c>
      <c r="AH29" s="120">
        <f>IF($F29&lt;&gt;"",0,SUM(AC29:AG29))</f>
        <v>0</v>
      </c>
      <c r="AI29" s="149">
        <f>+ROUNDUP(AH29/AI$4,0)</f>
        <v>0</v>
      </c>
      <c r="AJ29" s="120">
        <f>+IF(AH29*AI29=0,0,(ROUNDUP(AH29/AI29,3)))</f>
        <v>0</v>
      </c>
      <c r="AK29" s="2">
        <f>+IF($D29&lt;&gt;"",AK$6*$P29/$T$4*VLOOKUP($M29,CÁRNICOS!$CD$13:$CJ$48,4,FALSE),AK$5*$P29/$T$4*$AK$1)</f>
        <v>0</v>
      </c>
      <c r="AL29" s="2">
        <f>+IF($D29&lt;&gt;"",AL$6*$Q29/$T$4*VLOOKUP($M29,CÁRNICOS!$CD$13:$CJ$48,4,FALSE),AL$5*$Q29/$T$4*$AK$1)</f>
        <v>0</v>
      </c>
      <c r="AM29" s="2">
        <f>+IF($D29&lt;&gt;"",AM$6*$R29/$T$4*VLOOKUP($M29,CÁRNICOS!$CD$13:$CJ$48,4,FALSE),AM$5*$R29/$T$4*$AK$1)</f>
        <v>0</v>
      </c>
      <c r="AN29" s="2">
        <f>+IF($D29&lt;&gt;"",AN$6*$S29/$T$4*VLOOKUP($M29,CÁRNICOS!$CD$13:$CJ$48,4,FALSE),AN$5*$S29/$T$4*$AK$1)</f>
        <v>0</v>
      </c>
      <c r="AO29" s="2">
        <f>+IF($D29&lt;&gt;"",AO$6*$T29/$T$4*VLOOKUP($M29,CÁRNICOS!$CD$13:$CJ$48,4,FALSE),AO$5*$T29/$T$4*$AK$1)</f>
        <v>0</v>
      </c>
      <c r="AP29" s="120">
        <f>IF($G29&lt;&gt;"",0,SUM(AK29:AO29))</f>
        <v>0</v>
      </c>
      <c r="AQ29" s="149">
        <f>+ROUNDUP(AP29/AQ$4,0)</f>
        <v>0</v>
      </c>
      <c r="AR29" s="120">
        <f>+IF(AP29*AQ29=0,0,(ROUNDUP(AP29/AQ29,3)))</f>
        <v>0</v>
      </c>
      <c r="AS29" s="2">
        <f>+IF($D29&lt;&gt;"",AS$6*$P29/$T$4*VLOOKUP($M29,CÁRNICOS!$CD$13:$CJ$48,5,FALSE),AS$5*$P29/$T$4*$AS$1)</f>
        <v>1.4039999999999999</v>
      </c>
      <c r="AT29" s="2">
        <f>+IF($D29&lt;&gt;"",AT$6*$Q29/$T$4*VLOOKUP($M29,CÁRNICOS!$CD$13:$CJ$48,5,FALSE),AT$5*$Q29/$T$4*$AS$1)</f>
        <v>1.458</v>
      </c>
      <c r="AU29" s="2">
        <f>+IF($D29&lt;&gt;"",AU$6*$R29/$T$4*VLOOKUP($M29,CÁRNICOS!$CD$13:$CJ$48,5,FALSE),AU$5*$R29/$T$4*$AS$1)</f>
        <v>0</v>
      </c>
      <c r="AV29" s="2">
        <f>+IF($D29&lt;&gt;"",AV$6*$S29/$T$4*VLOOKUP($M29,CÁRNICOS!$CD$13:$CJ$48,5,FALSE),AV$5*$S29/$T$4*$AS$1)</f>
        <v>0</v>
      </c>
      <c r="AW29" s="2">
        <f>+IF($D29&lt;&gt;"",AW$6*$T29/$T$4*VLOOKUP($M29,CÁRNICOS!$CD$13:$CJ$48,5,FALSE),AW$5*$T29/$T$4*$AS$1)</f>
        <v>0</v>
      </c>
      <c r="AX29" s="120">
        <f>IF($H29&lt;&gt;"",0,SUM(AS29:AW29))</f>
        <v>2.8620000000000001</v>
      </c>
      <c r="AY29" s="149">
        <f>+ROUNDUP(AX29/AY$4,0)</f>
        <v>1</v>
      </c>
      <c r="AZ29" s="120">
        <f>+IF(AX29*AY29=0,0,(ROUNDUP(AX29/AY29,3)))</f>
        <v>2.8620000000000001</v>
      </c>
      <c r="BA29" s="2">
        <f>+IF($D29&lt;&gt;"",BA$6*$P29/$T$4*VLOOKUP($M29,CÁRNICOS!$CD$13:$CJ$48,6,FALSE),BA$5*$P29/$T$4*$BA$1)</f>
        <v>0</v>
      </c>
      <c r="BB29" s="2">
        <f>+IF($D29&lt;&gt;"",BB$6*$Q29/$T$4*VLOOKUP($M29,CÁRNICOS!$CD$13:$CJ$48,6,FALSE),BB$5*$Q29/$T$4*$BA$1)</f>
        <v>0</v>
      </c>
      <c r="BC29" s="2">
        <f>+IF($D29&lt;&gt;"",BC$6*$R29/$T$4*VLOOKUP($M29,CÁRNICOS!$CD$13:$CJ$48,6,FALSE),BC$5*$R29/$T$4*$BA$1)</f>
        <v>0</v>
      </c>
      <c r="BD29" s="2">
        <f>+IF($D29&lt;&gt;"",BD$6*$S29/$T$4*VLOOKUP($M29,CÁRNICOS!$CD$13:$CJ$48,6,FALSE),BD$5*$S29/$T$4*$BA$1)</f>
        <v>0</v>
      </c>
      <c r="BE29" s="2">
        <f>+IF($D29&lt;&gt;"",BE$6*$T29/$T$4*VLOOKUP($M29,CÁRNICOS!$CD$13:$CJ$48,6,FALSE),BE$5*$T29/$T$4*$BA$1)</f>
        <v>0</v>
      </c>
      <c r="BF29" s="120">
        <f t="shared" si="2"/>
        <v>0</v>
      </c>
      <c r="BG29" s="149">
        <f t="shared" si="3"/>
        <v>0</v>
      </c>
      <c r="BH29" s="120">
        <f t="shared" si="4"/>
        <v>0</v>
      </c>
      <c r="BI29" s="2">
        <f>+IF($D29&lt;&gt;"",BI$6*$P29/$T$4*VLOOKUP($M29,CÁRNICOS!$CD$13:$CJ$48,7,FALSE),BI$5*$P29/$T$4*$BI$1)</f>
        <v>0</v>
      </c>
      <c r="BJ29" s="2">
        <f>+IF($D29&lt;&gt;"",BJ$6*$Q29/$T$4*VLOOKUP($M29,CÁRNICOS!$CD$13:$CJ$48,7,FALSE),BJ$5*$Q29/$T$4*$BI$1)</f>
        <v>0</v>
      </c>
      <c r="BK29" s="2">
        <f>+IF($D29&lt;&gt;"",BK$6*$R29/$T$4*VLOOKUP($M29,CÁRNICOS!$CD$13:$CJ$48,7,FALSE),BK$5*$R29/$T$4*$BI$1)</f>
        <v>0</v>
      </c>
      <c r="BL29" s="2">
        <f>+IF($D29&lt;&gt;"",BL$6*$S29/$T$4*VLOOKUP($M29,CÁRNICOS!$CD$13:$CJ$48,7,FALSE),BL$5*$S29/$T$4*$BI$1)</f>
        <v>0</v>
      </c>
      <c r="BM29" s="2">
        <f>+IF($D29&lt;&gt;"",BM$6*$T29/$T$4*VLOOKUP($M29,CÁRNICOS!$CD$13:$CJ$48,7,FALSE),BM$5*$T29/$T$4*$BI$1)</f>
        <v>0</v>
      </c>
      <c r="BN29" s="120">
        <f t="shared" si="5"/>
        <v>0</v>
      </c>
      <c r="BO29" s="149">
        <f t="shared" si="16"/>
        <v>0</v>
      </c>
      <c r="BP29" s="120">
        <f t="shared" si="17"/>
        <v>0</v>
      </c>
      <c r="BR29" s="74">
        <f t="shared" si="6"/>
        <v>6</v>
      </c>
      <c r="BS29" s="74" t="str">
        <f t="shared" si="7"/>
        <v>LA DORADA</v>
      </c>
      <c r="BT29" s="74" t="str">
        <f t="shared" si="8"/>
        <v>INSTITUCION EDUCATIVA NUESTRA SEÑORA DEL CARMEN</v>
      </c>
      <c r="BU29" s="74" t="str">
        <f t="shared" si="9"/>
        <v>ESCUELA SAN VICENTE DE PAUL</v>
      </c>
      <c r="BV29" s="74">
        <f t="shared" si="10"/>
        <v>0</v>
      </c>
      <c r="BW29" s="74">
        <f t="shared" si="11"/>
        <v>0</v>
      </c>
      <c r="BX29" s="74">
        <f t="shared" si="12"/>
        <v>0</v>
      </c>
      <c r="BY29" s="74">
        <f t="shared" si="13"/>
        <v>2.8620000000000001</v>
      </c>
      <c r="BZ29" s="74">
        <f t="shared" si="14"/>
        <v>0</v>
      </c>
      <c r="CA29" s="74">
        <f t="shared" si="15"/>
        <v>0</v>
      </c>
      <c r="CD29" s="135" t="str">
        <f>+CONSOLIDADO!C27</f>
        <v>NEIRA</v>
      </c>
      <c r="CE29" s="136">
        <f t="shared" si="18"/>
        <v>0</v>
      </c>
      <c r="CF29" s="136">
        <f t="shared" si="18"/>
        <v>0</v>
      </c>
      <c r="CG29" s="136">
        <f t="shared" si="18"/>
        <v>0</v>
      </c>
      <c r="CH29" s="136">
        <f t="shared" si="18"/>
        <v>1</v>
      </c>
      <c r="CI29" s="136">
        <f t="shared" si="18"/>
        <v>0</v>
      </c>
      <c r="CJ29" s="136">
        <f t="shared" si="18"/>
        <v>0</v>
      </c>
    </row>
    <row r="30" spans="1:88" ht="29.95" customHeight="1" x14ac:dyDescent="0.3">
      <c r="B30" s="46">
        <f>+COUNTIF($M$8:M30,M30)</f>
        <v>11</v>
      </c>
      <c r="C30" s="14">
        <f>SUM(P30:T30)</f>
        <v>59</v>
      </c>
      <c r="D30" s="22" t="s">
        <v>73</v>
      </c>
      <c r="E30" s="124"/>
      <c r="F30" s="60"/>
      <c r="G30" s="60"/>
      <c r="H30" s="60"/>
      <c r="I30" s="60"/>
      <c r="J30" s="60"/>
      <c r="K30" s="59"/>
      <c r="L30" s="122">
        <v>6</v>
      </c>
      <c r="M30" s="164" t="s">
        <v>23</v>
      </c>
      <c r="N30" s="164" t="s">
        <v>201</v>
      </c>
      <c r="O30" s="165" t="s">
        <v>202</v>
      </c>
      <c r="P30" s="166">
        <v>0</v>
      </c>
      <c r="Q30" s="166">
        <v>22</v>
      </c>
      <c r="R30" s="167">
        <v>0</v>
      </c>
      <c r="S30" s="74">
        <v>37</v>
      </c>
      <c r="T30" s="74">
        <v>0</v>
      </c>
      <c r="U30" s="2">
        <f>+IF($D30&lt;&gt;"",U$6*$P30/$T$4*VLOOKUP($M30,CÁRNICOS!$CD$13:$CJ$48,2,FALSE),U$5*$P30/$T$4*$U$1)</f>
        <v>0</v>
      </c>
      <c r="V30" s="2">
        <f>+IF($D30&lt;&gt;"",V$6*$Q30/$T$4*VLOOKUP($M30,CÁRNICOS!$CD$13:$CJ$48,2,FALSE),V$5*$Q30/$T$4*$U$1)</f>
        <v>0</v>
      </c>
      <c r="W30" s="2">
        <f>+IF($D30&lt;&gt;"",W$6*$R30/$T$4*VLOOKUP($M30,CÁRNICOS!$CD$13:$CJ$48,2,FALSE),W$5*$R30/$T$4*$U$1)</f>
        <v>0</v>
      </c>
      <c r="X30" s="2">
        <f>+IF($D30&lt;&gt;"",X$6*$S30/$T$4*VLOOKUP($M30,CÁRNICOS!$CD$13:$CJ$48,2,FALSE),X$5*$S30/$T$4*$U$1)</f>
        <v>0</v>
      </c>
      <c r="Y30" s="2">
        <f>+IF($D30&lt;&gt;"",Y$6*$T30/$T$4*VLOOKUP($M30,CÁRNICOS!$CD$13:$CJ$48,2,FALSE),Y$5*$T30/$T$4*$U$1)</f>
        <v>0</v>
      </c>
      <c r="Z30" s="146">
        <f>IF($E30&lt;&gt;"",0,SUM(U30:Y30))</f>
        <v>0</v>
      </c>
      <c r="AA30" s="149">
        <f>+ROUNDUP(Z30/AA$4,0)</f>
        <v>0</v>
      </c>
      <c r="AB30" s="120">
        <f>+IF(Z30*AA30=0,0,(ROUNDUP(Z30/AA30,3)))</f>
        <v>0</v>
      </c>
      <c r="AC30" s="147">
        <f>+IF($D30&lt;&gt;"",AC$6*$P30/$T$4*VLOOKUP($M30,CÁRNICOS!$CD$13:$CJ$48,3,FALSE),AC$5*$P30/$T$4*$AC$1)</f>
        <v>0</v>
      </c>
      <c r="AD30" s="147">
        <f>+IF($D30&lt;&gt;"",AD$6*$Q30/$T$4*VLOOKUP($M30,CÁRNICOS!$CD$13:$CJ$48,3,FALSE),AD$5*$Q30/$T$4*$AC$1)</f>
        <v>0</v>
      </c>
      <c r="AE30" s="2">
        <f>+IF($D30&lt;&gt;"",AE$6*$R30/$T$4*VLOOKUP($M30,CÁRNICOS!$CD$13:$CJ$48,3,FALSE),AE$5*$R30/$T$4*$AC$1)</f>
        <v>0</v>
      </c>
      <c r="AF30" s="2">
        <f>+IF($D30&lt;&gt;"",AF$6*$S30/$T$4*VLOOKUP($M30,CÁRNICOS!$CD$13:$CJ$48,3,FALSE),AF$5*$S30/$T$4*$AC$1)</f>
        <v>0</v>
      </c>
      <c r="AG30" s="2">
        <f>+IF($D30&lt;&gt;"",AG$6*$T30/$T$4*VLOOKUP($M30,CÁRNICOS!$CD$13:$CJ$48,3,FALSE),AG$5*$T30/$T$4*$AC$1)</f>
        <v>0</v>
      </c>
      <c r="AH30" s="120">
        <f>IF($F30&lt;&gt;"",0,SUM(AC30:AG30))</f>
        <v>0</v>
      </c>
      <c r="AI30" s="149">
        <f>+ROUNDUP(AH30/AI$4,0)</f>
        <v>0</v>
      </c>
      <c r="AJ30" s="120">
        <f>+IF(AH30*AI30=0,0,(ROUNDUP(AH30/AI30,3)))</f>
        <v>0</v>
      </c>
      <c r="AK30" s="2">
        <f>+IF($D30&lt;&gt;"",AK$6*$P30/$T$4*VLOOKUP($M30,CÁRNICOS!$CD$13:$CJ$48,4,FALSE),AK$5*$P30/$T$4*$AK$1)</f>
        <v>0</v>
      </c>
      <c r="AL30" s="2">
        <f>+IF($D30&lt;&gt;"",AL$6*$Q30/$T$4*VLOOKUP($M30,CÁRNICOS!$CD$13:$CJ$48,4,FALSE),AL$5*$Q30/$T$4*$AK$1)</f>
        <v>0</v>
      </c>
      <c r="AM30" s="2">
        <f>+IF($D30&lt;&gt;"",AM$6*$R30/$T$4*VLOOKUP($M30,CÁRNICOS!$CD$13:$CJ$48,4,FALSE),AM$5*$R30/$T$4*$AK$1)</f>
        <v>0</v>
      </c>
      <c r="AN30" s="2">
        <f>+IF($D30&lt;&gt;"",AN$6*$S30/$T$4*VLOOKUP($M30,CÁRNICOS!$CD$13:$CJ$48,4,FALSE),AN$5*$S30/$T$4*$AK$1)</f>
        <v>0</v>
      </c>
      <c r="AO30" s="2">
        <f>+IF($D30&lt;&gt;"",AO$6*$T30/$T$4*VLOOKUP($M30,CÁRNICOS!$CD$13:$CJ$48,4,FALSE),AO$5*$T30/$T$4*$AK$1)</f>
        <v>0</v>
      </c>
      <c r="AP30" s="120">
        <f>IF($G30&lt;&gt;"",0,SUM(AK30:AO30))</f>
        <v>0</v>
      </c>
      <c r="AQ30" s="149">
        <f>+ROUNDUP(AP30/AQ$4,0)</f>
        <v>0</v>
      </c>
      <c r="AR30" s="120">
        <f>+IF(AP30*AQ30=0,0,(ROUNDUP(AP30/AQ30,3)))</f>
        <v>0</v>
      </c>
      <c r="AS30" s="2">
        <f>+IF($D30&lt;&gt;"",AS$6*$P30/$T$4*VLOOKUP($M30,CÁRNICOS!$CD$13:$CJ$48,5,FALSE),AS$5*$P30/$T$4*$AS$1)</f>
        <v>0</v>
      </c>
      <c r="AT30" s="2">
        <f>+IF($D30&lt;&gt;"",AT$6*$Q30/$T$4*VLOOKUP($M30,CÁRNICOS!$CD$13:$CJ$48,5,FALSE),AT$5*$Q30/$T$4*$AS$1)</f>
        <v>1.1879999999999999</v>
      </c>
      <c r="AU30" s="2">
        <f>+IF($D30&lt;&gt;"",AU$6*$R30/$T$4*VLOOKUP($M30,CÁRNICOS!$CD$13:$CJ$48,5,FALSE),AU$5*$R30/$T$4*$AS$1)</f>
        <v>0</v>
      </c>
      <c r="AV30" s="2">
        <f>+IF($D30&lt;&gt;"",AV$6*$S30/$T$4*VLOOKUP($M30,CÁRNICOS!$CD$13:$CJ$48,5,FALSE),AV$5*$S30/$T$4*$AS$1)</f>
        <v>2.96</v>
      </c>
      <c r="AW30" s="2">
        <f>+IF($D30&lt;&gt;"",AW$6*$T30/$T$4*VLOOKUP($M30,CÁRNICOS!$CD$13:$CJ$48,5,FALSE),AW$5*$T30/$T$4*$AS$1)</f>
        <v>0</v>
      </c>
      <c r="AX30" s="120">
        <f>IF($H30&lt;&gt;"",0,SUM(AS30:AW30))</f>
        <v>4.1479999999999997</v>
      </c>
      <c r="AY30" s="149">
        <f>+ROUNDUP(AX30/AY$4,0)</f>
        <v>1</v>
      </c>
      <c r="AZ30" s="120">
        <f>+IF(AX30*AY30=0,0,(ROUNDUP(AX30/AY30,3)))</f>
        <v>4.1479999999999997</v>
      </c>
      <c r="BA30" s="2">
        <f>+IF($D30&lt;&gt;"",BA$6*$P30/$T$4*VLOOKUP($M30,CÁRNICOS!$CD$13:$CJ$48,6,FALSE),BA$5*$P30/$T$4*$BA$1)</f>
        <v>0</v>
      </c>
      <c r="BB30" s="2">
        <f>+IF($D30&lt;&gt;"",BB$6*$Q30/$T$4*VLOOKUP($M30,CÁRNICOS!$CD$13:$CJ$48,6,FALSE),BB$5*$Q30/$T$4*$BA$1)</f>
        <v>0</v>
      </c>
      <c r="BC30" s="2">
        <f>+IF($D30&lt;&gt;"",BC$6*$R30/$T$4*VLOOKUP($M30,CÁRNICOS!$CD$13:$CJ$48,6,FALSE),BC$5*$R30/$T$4*$BA$1)</f>
        <v>0</v>
      </c>
      <c r="BD30" s="2">
        <f>+IF($D30&lt;&gt;"",BD$6*$S30/$T$4*VLOOKUP($M30,CÁRNICOS!$CD$13:$CJ$48,6,FALSE),BD$5*$S30/$T$4*$BA$1)</f>
        <v>0</v>
      </c>
      <c r="BE30" s="2">
        <f>+IF($D30&lt;&gt;"",BE$6*$T30/$T$4*VLOOKUP($M30,CÁRNICOS!$CD$13:$CJ$48,6,FALSE),BE$5*$T30/$T$4*$BA$1)</f>
        <v>0</v>
      </c>
      <c r="BF30" s="120">
        <f t="shared" si="2"/>
        <v>0</v>
      </c>
      <c r="BG30" s="149">
        <f t="shared" si="3"/>
        <v>0</v>
      </c>
      <c r="BH30" s="120">
        <f t="shared" si="4"/>
        <v>0</v>
      </c>
      <c r="BI30" s="2">
        <f>+IF($D30&lt;&gt;"",BI$6*$P30/$T$4*VLOOKUP($M30,CÁRNICOS!$CD$13:$CJ$48,7,FALSE),BI$5*$P30/$T$4*$BI$1)</f>
        <v>0</v>
      </c>
      <c r="BJ30" s="2">
        <f>+IF($D30&lt;&gt;"",BJ$6*$Q30/$T$4*VLOOKUP($M30,CÁRNICOS!$CD$13:$CJ$48,7,FALSE),BJ$5*$Q30/$T$4*$BI$1)</f>
        <v>0</v>
      </c>
      <c r="BK30" s="2">
        <f>+IF($D30&lt;&gt;"",BK$6*$R30/$T$4*VLOOKUP($M30,CÁRNICOS!$CD$13:$CJ$48,7,FALSE),BK$5*$R30/$T$4*$BI$1)</f>
        <v>0</v>
      </c>
      <c r="BL30" s="2">
        <f>+IF($D30&lt;&gt;"",BL$6*$S30/$T$4*VLOOKUP($M30,CÁRNICOS!$CD$13:$CJ$48,7,FALSE),BL$5*$S30/$T$4*$BI$1)</f>
        <v>0</v>
      </c>
      <c r="BM30" s="2">
        <f>+IF($D30&lt;&gt;"",BM$6*$T30/$T$4*VLOOKUP($M30,CÁRNICOS!$CD$13:$CJ$48,7,FALSE),BM$5*$T30/$T$4*$BI$1)</f>
        <v>0</v>
      </c>
      <c r="BN30" s="120">
        <f t="shared" si="5"/>
        <v>0</v>
      </c>
      <c r="BO30" s="149">
        <f t="shared" si="16"/>
        <v>0</v>
      </c>
      <c r="BP30" s="120">
        <f t="shared" si="17"/>
        <v>0</v>
      </c>
      <c r="BR30" s="74">
        <f t="shared" si="6"/>
        <v>6</v>
      </c>
      <c r="BS30" s="74" t="str">
        <f t="shared" si="7"/>
        <v>LA DORADA</v>
      </c>
      <c r="BT30" s="74" t="str">
        <f t="shared" si="8"/>
        <v>INSTITUCION EDUCATIVA PURNIO</v>
      </c>
      <c r="BU30" s="74" t="str">
        <f t="shared" si="9"/>
        <v>INSTITUCION EDUCATIVA PURNIO - SEDE PRINCIPAL</v>
      </c>
      <c r="BV30" s="74">
        <f t="shared" si="10"/>
        <v>0</v>
      </c>
      <c r="BW30" s="74">
        <f t="shared" si="11"/>
        <v>0</v>
      </c>
      <c r="BX30" s="74">
        <f t="shared" si="12"/>
        <v>0</v>
      </c>
      <c r="BY30" s="74">
        <f t="shared" si="13"/>
        <v>4.1479999999999997</v>
      </c>
      <c r="BZ30" s="74">
        <f t="shared" si="14"/>
        <v>0</v>
      </c>
      <c r="CA30" s="74">
        <f t="shared" si="15"/>
        <v>0</v>
      </c>
      <c r="CD30" s="135" t="str">
        <f>+CONSOLIDADO!C28</f>
        <v>AGUADAS</v>
      </c>
      <c r="CE30" s="136">
        <f t="shared" ref="CE30:CJ48" si="31">+CE$11</f>
        <v>0</v>
      </c>
      <c r="CF30" s="136">
        <f t="shared" si="31"/>
        <v>0</v>
      </c>
      <c r="CG30" s="136">
        <f t="shared" si="31"/>
        <v>0</v>
      </c>
      <c r="CH30" s="136">
        <f t="shared" si="31"/>
        <v>1</v>
      </c>
      <c r="CI30" s="136">
        <f t="shared" si="31"/>
        <v>0</v>
      </c>
      <c r="CJ30" s="136">
        <f t="shared" si="31"/>
        <v>0</v>
      </c>
    </row>
    <row r="31" spans="1:88" ht="29.95" customHeight="1" x14ac:dyDescent="0.3">
      <c r="B31" s="46">
        <f>+COUNTIF($M$8:M31,M31)</f>
        <v>1</v>
      </c>
      <c r="C31" s="14">
        <f>SUM(P31:T31)</f>
        <v>39</v>
      </c>
      <c r="D31" s="22" t="s">
        <v>73</v>
      </c>
      <c r="E31" s="124"/>
      <c r="F31" s="60"/>
      <c r="G31" s="60"/>
      <c r="H31" s="60"/>
      <c r="I31" s="60"/>
      <c r="J31" s="60"/>
      <c r="K31" s="59"/>
      <c r="L31" s="122">
        <v>1</v>
      </c>
      <c r="M31" s="162" t="s">
        <v>62</v>
      </c>
      <c r="N31" s="162" t="s">
        <v>242</v>
      </c>
      <c r="O31" s="163" t="s">
        <v>243</v>
      </c>
      <c r="P31" s="74">
        <v>6</v>
      </c>
      <c r="Q31" s="74">
        <v>33</v>
      </c>
      <c r="R31" s="139">
        <v>0</v>
      </c>
      <c r="S31" s="74">
        <v>0</v>
      </c>
      <c r="T31" s="74">
        <v>0</v>
      </c>
      <c r="U31" s="2">
        <f>+IF($D31&lt;&gt;"",U$6*$P31/$T$4*VLOOKUP($M31,CÁRNICOS!$CD$13:$CJ$48,2,FALSE),U$5*$P31/$T$4*$U$1)</f>
        <v>0</v>
      </c>
      <c r="V31" s="2">
        <f>+IF($D31&lt;&gt;"",V$6*$Q31/$T$4*VLOOKUP($M31,CÁRNICOS!$CD$13:$CJ$48,2,FALSE),V$5*$Q31/$T$4*$U$1)</f>
        <v>0</v>
      </c>
      <c r="W31" s="2">
        <f>+IF($D31&lt;&gt;"",W$6*$R31/$T$4*VLOOKUP($M31,CÁRNICOS!$CD$13:$CJ$48,2,FALSE),W$5*$R31/$T$4*$U$1)</f>
        <v>0</v>
      </c>
      <c r="X31" s="2">
        <f>+IF($D31&lt;&gt;"",X$6*$S31/$T$4*VLOOKUP($M31,CÁRNICOS!$CD$13:$CJ$48,2,FALSE),X$5*$S31/$T$4*$U$1)</f>
        <v>0</v>
      </c>
      <c r="Y31" s="2">
        <f>+IF($D31&lt;&gt;"",Y$6*$T31/$T$4*VLOOKUP($M31,CÁRNICOS!$CD$13:$CJ$48,2,FALSE),Y$5*$T31/$T$4*$U$1)</f>
        <v>0</v>
      </c>
      <c r="Z31" s="146">
        <f>IF($E31&lt;&gt;"",0,SUM(U31:Y31))</f>
        <v>0</v>
      </c>
      <c r="AA31" s="149">
        <f>+ROUNDUP(Z31/AA$4,0)</f>
        <v>0</v>
      </c>
      <c r="AB31" s="120">
        <f>+IF(Z31*AA31=0,0,(ROUNDUP(Z31/AA31,3)))</f>
        <v>0</v>
      </c>
      <c r="AC31" s="147">
        <f>+IF($D31&lt;&gt;"",AC$6*$P31/$T$4*VLOOKUP($M31,CÁRNICOS!$CD$13:$CJ$48,3,FALSE),AC$5*$P31/$T$4*$AC$1)</f>
        <v>0</v>
      </c>
      <c r="AD31" s="147">
        <f>+IF($D31&lt;&gt;"",AD$6*$Q31/$T$4*VLOOKUP($M31,CÁRNICOS!$CD$13:$CJ$48,3,FALSE),AD$5*$Q31/$T$4*$AC$1)</f>
        <v>0</v>
      </c>
      <c r="AE31" s="2">
        <f>+IF($D31&lt;&gt;"",AE$6*$R31/$T$4*VLOOKUP($M31,CÁRNICOS!$CD$13:$CJ$48,3,FALSE),AE$5*$R31/$T$4*$AC$1)</f>
        <v>0</v>
      </c>
      <c r="AF31" s="2">
        <f>+IF($D31&lt;&gt;"",AF$6*$S31/$T$4*VLOOKUP($M31,CÁRNICOS!$CD$13:$CJ$48,3,FALSE),AF$5*$S31/$T$4*$AC$1)</f>
        <v>0</v>
      </c>
      <c r="AG31" s="2">
        <f>+IF($D31&lt;&gt;"",AG$6*$T31/$T$4*VLOOKUP($M31,CÁRNICOS!$CD$13:$CJ$48,3,FALSE),AG$5*$T31/$T$4*$AC$1)</f>
        <v>0</v>
      </c>
      <c r="AH31" s="120">
        <f>IF($F31&lt;&gt;"",0,SUM(AC31:AG31))</f>
        <v>0</v>
      </c>
      <c r="AI31" s="149">
        <f>+ROUNDUP(AH31/AI$4,0)</f>
        <v>0</v>
      </c>
      <c r="AJ31" s="120">
        <f>+IF(AH31*AI31=0,0,(ROUNDUP(AH31/AI31,3)))</f>
        <v>0</v>
      </c>
      <c r="AK31" s="2">
        <f>+IF($D31&lt;&gt;"",AK$6*$P31/$T$4*VLOOKUP($M31,CÁRNICOS!$CD$13:$CJ$48,4,FALSE),AK$5*$P31/$T$4*$AK$1)</f>
        <v>0</v>
      </c>
      <c r="AL31" s="2">
        <f>+IF($D31&lt;&gt;"",AL$6*$Q31/$T$4*VLOOKUP($M31,CÁRNICOS!$CD$13:$CJ$48,4,FALSE),AL$5*$Q31/$T$4*$AK$1)</f>
        <v>0</v>
      </c>
      <c r="AM31" s="2">
        <f>+IF($D31&lt;&gt;"",AM$6*$R31/$T$4*VLOOKUP($M31,CÁRNICOS!$CD$13:$CJ$48,4,FALSE),AM$5*$R31/$T$4*$AK$1)</f>
        <v>0</v>
      </c>
      <c r="AN31" s="2">
        <f>+IF($D31&lt;&gt;"",AN$6*$S31/$T$4*VLOOKUP($M31,CÁRNICOS!$CD$13:$CJ$48,4,FALSE),AN$5*$S31/$T$4*$AK$1)</f>
        <v>0</v>
      </c>
      <c r="AO31" s="2">
        <f>+IF($D31&lt;&gt;"",AO$6*$T31/$T$4*VLOOKUP($M31,CÁRNICOS!$CD$13:$CJ$48,4,FALSE),AO$5*$T31/$T$4*$AK$1)</f>
        <v>0</v>
      </c>
      <c r="AP31" s="120">
        <f>IF($G31&lt;&gt;"",0,SUM(AK31:AO31))</f>
        <v>0</v>
      </c>
      <c r="AQ31" s="149">
        <f>+ROUNDUP(AP31/AQ$4,0)</f>
        <v>0</v>
      </c>
      <c r="AR31" s="120">
        <f>+IF(AP31*AQ31=0,0,(ROUNDUP(AP31/AQ31,3)))</f>
        <v>0</v>
      </c>
      <c r="AS31" s="2">
        <f>+IF($D31&lt;&gt;"",AS$6*$P31/$T$4*VLOOKUP($M31,CÁRNICOS!$CD$13:$CJ$48,5,FALSE),AS$5*$P31/$T$4*$AS$1)</f>
        <v>0.32400000000000001</v>
      </c>
      <c r="AT31" s="2">
        <f>+IF($D31&lt;&gt;"",AT$6*$Q31/$T$4*VLOOKUP($M31,CÁRNICOS!$CD$13:$CJ$48,5,FALSE),AT$5*$Q31/$T$4*$AS$1)</f>
        <v>1.782</v>
      </c>
      <c r="AU31" s="2">
        <f>+IF($D31&lt;&gt;"",AU$6*$R31/$T$4*VLOOKUP($M31,CÁRNICOS!$CD$13:$CJ$48,5,FALSE),AU$5*$R31/$T$4*$AS$1)</f>
        <v>0</v>
      </c>
      <c r="AV31" s="2">
        <f>+IF($D31&lt;&gt;"",AV$6*$S31/$T$4*VLOOKUP($M31,CÁRNICOS!$CD$13:$CJ$48,5,FALSE),AV$5*$S31/$T$4*$AS$1)</f>
        <v>0</v>
      </c>
      <c r="AW31" s="2">
        <f>+IF($D31&lt;&gt;"",AW$6*$T31/$T$4*VLOOKUP($M31,CÁRNICOS!$CD$13:$CJ$48,5,FALSE),AW$5*$T31/$T$4*$AS$1)</f>
        <v>0</v>
      </c>
      <c r="AX31" s="120">
        <f>IF($H31&lt;&gt;"",0,SUM(AS31:AW31))</f>
        <v>2.1059999999999999</v>
      </c>
      <c r="AY31" s="149">
        <f>+ROUNDUP(AX31/AY$4,0)</f>
        <v>1</v>
      </c>
      <c r="AZ31" s="120">
        <f>+IF(AX31*AY31=0,0,(ROUNDUP(AX31/AY31,3)))</f>
        <v>2.1059999999999999</v>
      </c>
      <c r="BA31" s="2">
        <f>+IF($D31&lt;&gt;"",BA$6*$P31/$T$4*VLOOKUP($M31,CÁRNICOS!$CD$13:$CJ$48,6,FALSE),BA$5*$P31/$T$4*$BA$1)</f>
        <v>0</v>
      </c>
      <c r="BB31" s="2">
        <f>+IF($D31&lt;&gt;"",BB$6*$Q31/$T$4*VLOOKUP($M31,CÁRNICOS!$CD$13:$CJ$48,6,FALSE),BB$5*$Q31/$T$4*$BA$1)</f>
        <v>0</v>
      </c>
      <c r="BC31" s="2">
        <f>+IF($D31&lt;&gt;"",BC$6*$R31/$T$4*VLOOKUP($M31,CÁRNICOS!$CD$13:$CJ$48,6,FALSE),BC$5*$R31/$T$4*$BA$1)</f>
        <v>0</v>
      </c>
      <c r="BD31" s="2">
        <f>+IF($D31&lt;&gt;"",BD$6*$S31/$T$4*VLOOKUP($M31,CÁRNICOS!$CD$13:$CJ$48,6,FALSE),BD$5*$S31/$T$4*$BA$1)</f>
        <v>0</v>
      </c>
      <c r="BE31" s="2">
        <f>+IF($D31&lt;&gt;"",BE$6*$T31/$T$4*VLOOKUP($M31,CÁRNICOS!$CD$13:$CJ$48,6,FALSE),BE$5*$T31/$T$4*$BA$1)</f>
        <v>0</v>
      </c>
      <c r="BF31" s="120">
        <f t="shared" si="2"/>
        <v>0</v>
      </c>
      <c r="BG31" s="149">
        <f t="shared" si="3"/>
        <v>0</v>
      </c>
      <c r="BH31" s="120">
        <f t="shared" si="4"/>
        <v>0</v>
      </c>
      <c r="BI31" s="2">
        <f>+IF($D31&lt;&gt;"",BI$6*$P31/$T$4*VLOOKUP($M31,CÁRNICOS!$CD$13:$CJ$48,7,FALSE),BI$5*$P31/$T$4*$BI$1)</f>
        <v>0</v>
      </c>
      <c r="BJ31" s="2">
        <f>+IF($D31&lt;&gt;"",BJ$6*$Q31/$T$4*VLOOKUP($M31,CÁRNICOS!$CD$13:$CJ$48,7,FALSE),BJ$5*$Q31/$T$4*$BI$1)</f>
        <v>0</v>
      </c>
      <c r="BK31" s="2">
        <f>+IF($D31&lt;&gt;"",BK$6*$R31/$T$4*VLOOKUP($M31,CÁRNICOS!$CD$13:$CJ$48,7,FALSE),BK$5*$R31/$T$4*$BI$1)</f>
        <v>0</v>
      </c>
      <c r="BL31" s="2">
        <f>+IF($D31&lt;&gt;"",BL$6*$S31/$T$4*VLOOKUP($M31,CÁRNICOS!$CD$13:$CJ$48,7,FALSE),BL$5*$S31/$T$4*$BI$1)</f>
        <v>0</v>
      </c>
      <c r="BM31" s="2">
        <f>+IF($D31&lt;&gt;"",BM$6*$T31/$T$4*VLOOKUP($M31,CÁRNICOS!$CD$13:$CJ$48,7,FALSE),BM$5*$T31/$T$4*$BI$1)</f>
        <v>0</v>
      </c>
      <c r="BN31" s="120">
        <f t="shared" si="5"/>
        <v>0</v>
      </c>
      <c r="BO31" s="149">
        <f t="shared" si="16"/>
        <v>0</v>
      </c>
      <c r="BP31" s="120">
        <f t="shared" si="17"/>
        <v>0</v>
      </c>
      <c r="BR31" s="74">
        <f t="shared" si="6"/>
        <v>1</v>
      </c>
      <c r="BS31" s="74" t="str">
        <f t="shared" si="7"/>
        <v>LA MERCED</v>
      </c>
      <c r="BT31" s="74" t="str">
        <f t="shared" si="8"/>
        <v>INSTITUCION EDUCATIVA LA FELISA</v>
      </c>
      <c r="BU31" s="74" t="str">
        <f t="shared" si="9"/>
        <v>INSTITUCION EDUCATIVA LA FELISA - SEDE PRINCIPAL</v>
      </c>
      <c r="BV31" s="74">
        <f t="shared" si="10"/>
        <v>0</v>
      </c>
      <c r="BW31" s="74">
        <f t="shared" si="11"/>
        <v>0</v>
      </c>
      <c r="BX31" s="74">
        <f t="shared" si="12"/>
        <v>0</v>
      </c>
      <c r="BY31" s="74">
        <f t="shared" si="13"/>
        <v>2.1059999999999999</v>
      </c>
      <c r="BZ31" s="74">
        <f t="shared" si="14"/>
        <v>0</v>
      </c>
      <c r="CA31" s="74">
        <f t="shared" si="15"/>
        <v>0</v>
      </c>
      <c r="CD31" s="135" t="str">
        <f>+CONSOLIDADO!C29</f>
        <v>PÁCORA</v>
      </c>
      <c r="CE31" s="136">
        <f t="shared" si="31"/>
        <v>0</v>
      </c>
      <c r="CF31" s="136">
        <f t="shared" si="31"/>
        <v>0</v>
      </c>
      <c r="CG31" s="136">
        <f t="shared" si="31"/>
        <v>0</v>
      </c>
      <c r="CH31" s="136">
        <f t="shared" si="31"/>
        <v>1</v>
      </c>
      <c r="CI31" s="136">
        <f t="shared" si="31"/>
        <v>0</v>
      </c>
      <c r="CJ31" s="136">
        <f t="shared" si="31"/>
        <v>0</v>
      </c>
    </row>
    <row r="32" spans="1:88" ht="29.95" customHeight="1" x14ac:dyDescent="0.3">
      <c r="A32" s="57"/>
      <c r="B32" s="46">
        <f>+COUNTIF($M$8:M32,M32)</f>
        <v>2</v>
      </c>
      <c r="C32" s="14">
        <f>SUM(P32:T32)</f>
        <v>32</v>
      </c>
      <c r="D32" s="22" t="s">
        <v>73</v>
      </c>
      <c r="E32" s="124"/>
      <c r="F32" s="60"/>
      <c r="G32" s="60"/>
      <c r="H32" s="60"/>
      <c r="I32" s="60"/>
      <c r="J32" s="60"/>
      <c r="K32" s="59"/>
      <c r="L32" s="122">
        <v>1</v>
      </c>
      <c r="M32" s="162" t="s">
        <v>62</v>
      </c>
      <c r="N32" s="162" t="s">
        <v>244</v>
      </c>
      <c r="O32" s="163" t="s">
        <v>245</v>
      </c>
      <c r="P32" s="74">
        <v>0</v>
      </c>
      <c r="Q32" s="74">
        <v>0</v>
      </c>
      <c r="R32" s="139">
        <v>0</v>
      </c>
      <c r="S32" s="74">
        <v>24</v>
      </c>
      <c r="T32" s="74">
        <v>8</v>
      </c>
      <c r="U32" s="2">
        <f>+IF($D32&lt;&gt;"",U$6*$P32/$T$4*VLOOKUP($M32,CÁRNICOS!$CD$13:$CJ$48,2,FALSE),U$5*$P32/$T$4*$U$1)</f>
        <v>0</v>
      </c>
      <c r="V32" s="2">
        <f>+IF($D32&lt;&gt;"",V$6*$Q32/$T$4*VLOOKUP($M32,CÁRNICOS!$CD$13:$CJ$48,2,FALSE),V$5*$Q32/$T$4*$U$1)</f>
        <v>0</v>
      </c>
      <c r="W32" s="2">
        <f>+IF($D32&lt;&gt;"",W$6*$R32/$T$4*VLOOKUP($M32,CÁRNICOS!$CD$13:$CJ$48,2,FALSE),W$5*$R32/$T$4*$U$1)</f>
        <v>0</v>
      </c>
      <c r="X32" s="2">
        <f>+IF($D32&lt;&gt;"",X$6*$S32/$T$4*VLOOKUP($M32,CÁRNICOS!$CD$13:$CJ$48,2,FALSE),X$5*$S32/$T$4*$U$1)</f>
        <v>0</v>
      </c>
      <c r="Y32" s="2">
        <f>+IF($D32&lt;&gt;"",Y$6*$T32/$T$4*VLOOKUP($M32,CÁRNICOS!$CD$13:$CJ$48,2,FALSE),Y$5*$T32/$T$4*$U$1)</f>
        <v>0</v>
      </c>
      <c r="Z32" s="146">
        <f>IF($E32&lt;&gt;"",0,SUM(U32:Y32))</f>
        <v>0</v>
      </c>
      <c r="AA32" s="149">
        <f>+ROUNDUP(Z32/AA$4,0)</f>
        <v>0</v>
      </c>
      <c r="AB32" s="120">
        <f>+IF(Z32*AA32=0,0,(ROUNDUP(Z32/AA32,3)))</f>
        <v>0</v>
      </c>
      <c r="AC32" s="147">
        <f>+IF($D32&lt;&gt;"",AC$6*$P32/$T$4*VLOOKUP($M32,CÁRNICOS!$CD$13:$CJ$48,3,FALSE),AC$5*$P32/$T$4*$AC$1)</f>
        <v>0</v>
      </c>
      <c r="AD32" s="147">
        <f>+IF($D32&lt;&gt;"",AD$6*$Q32/$T$4*VLOOKUP($M32,CÁRNICOS!$CD$13:$CJ$48,3,FALSE),AD$5*$Q32/$T$4*$AC$1)</f>
        <v>0</v>
      </c>
      <c r="AE32" s="2">
        <f>+IF($D32&lt;&gt;"",AE$6*$R32/$T$4*VLOOKUP($M32,CÁRNICOS!$CD$13:$CJ$48,3,FALSE),AE$5*$R32/$T$4*$AC$1)</f>
        <v>0</v>
      </c>
      <c r="AF32" s="2">
        <f>+IF($D32&lt;&gt;"",AF$6*$S32/$T$4*VLOOKUP($M32,CÁRNICOS!$CD$13:$CJ$48,3,FALSE),AF$5*$S32/$T$4*$AC$1)</f>
        <v>0</v>
      </c>
      <c r="AG32" s="2">
        <f>+IF($D32&lt;&gt;"",AG$6*$T32/$T$4*VLOOKUP($M32,CÁRNICOS!$CD$13:$CJ$48,3,FALSE),AG$5*$T32/$T$4*$AC$1)</f>
        <v>0</v>
      </c>
      <c r="AH32" s="120">
        <f>IF($F32&lt;&gt;"",0,SUM(AC32:AG32))</f>
        <v>0</v>
      </c>
      <c r="AI32" s="149">
        <f>+ROUNDUP(AH32/AI$4,0)</f>
        <v>0</v>
      </c>
      <c r="AJ32" s="120">
        <f>+IF(AH32*AI32=0,0,(ROUNDUP(AH32/AI32,3)))</f>
        <v>0</v>
      </c>
      <c r="AK32" s="2">
        <f>+IF($D32&lt;&gt;"",AK$6*$P32/$T$4*VLOOKUP($M32,CÁRNICOS!$CD$13:$CJ$48,4,FALSE),AK$5*$P32/$T$4*$AK$1)</f>
        <v>0</v>
      </c>
      <c r="AL32" s="2">
        <f>+IF($D32&lt;&gt;"",AL$6*$Q32/$T$4*VLOOKUP($M32,CÁRNICOS!$CD$13:$CJ$48,4,FALSE),AL$5*$Q32/$T$4*$AK$1)</f>
        <v>0</v>
      </c>
      <c r="AM32" s="2">
        <f>+IF($D32&lt;&gt;"",AM$6*$R32/$T$4*VLOOKUP($M32,CÁRNICOS!$CD$13:$CJ$48,4,FALSE),AM$5*$R32/$T$4*$AK$1)</f>
        <v>0</v>
      </c>
      <c r="AN32" s="2">
        <f>+IF($D32&lt;&gt;"",AN$6*$S32/$T$4*VLOOKUP($M32,CÁRNICOS!$CD$13:$CJ$48,4,FALSE),AN$5*$S32/$T$4*$AK$1)</f>
        <v>0</v>
      </c>
      <c r="AO32" s="2">
        <f>+IF($D32&lt;&gt;"",AO$6*$T32/$T$4*VLOOKUP($M32,CÁRNICOS!$CD$13:$CJ$48,4,FALSE),AO$5*$T32/$T$4*$AK$1)</f>
        <v>0</v>
      </c>
      <c r="AP32" s="120">
        <f>IF($G32&lt;&gt;"",0,SUM(AK32:AO32))</f>
        <v>0</v>
      </c>
      <c r="AQ32" s="149">
        <f>+ROUNDUP(AP32/AQ$4,0)</f>
        <v>0</v>
      </c>
      <c r="AR32" s="120">
        <f>+IF(AP32*AQ32=0,0,(ROUNDUP(AP32/AQ32,3)))</f>
        <v>0</v>
      </c>
      <c r="AS32" s="2">
        <f>+IF($D32&lt;&gt;"",AS$6*$P32/$T$4*VLOOKUP($M32,CÁRNICOS!$CD$13:$CJ$48,5,FALSE),AS$5*$P32/$T$4*$AS$1)</f>
        <v>0</v>
      </c>
      <c r="AT32" s="2">
        <f>+IF($D32&lt;&gt;"",AT$6*$Q32/$T$4*VLOOKUP($M32,CÁRNICOS!$CD$13:$CJ$48,5,FALSE),AT$5*$Q32/$T$4*$AS$1)</f>
        <v>0</v>
      </c>
      <c r="AU32" s="2">
        <f>+IF($D32&lt;&gt;"",AU$6*$R32/$T$4*VLOOKUP($M32,CÁRNICOS!$CD$13:$CJ$48,5,FALSE),AU$5*$R32/$T$4*$AS$1)</f>
        <v>0</v>
      </c>
      <c r="AV32" s="2">
        <f>+IF($D32&lt;&gt;"",AV$6*$S32/$T$4*VLOOKUP($M32,CÁRNICOS!$CD$13:$CJ$48,5,FALSE),AV$5*$S32/$T$4*$AS$1)</f>
        <v>1.92</v>
      </c>
      <c r="AW32" s="2">
        <f>+IF($D32&lt;&gt;"",AW$6*$T32/$T$4*VLOOKUP($M32,CÁRNICOS!$CD$13:$CJ$48,5,FALSE),AW$5*$T32/$T$4*$AS$1)</f>
        <v>0.8</v>
      </c>
      <c r="AX32" s="120">
        <f>IF($H32&lt;&gt;"",0,SUM(AS32:AW32))</f>
        <v>2.7199999999999998</v>
      </c>
      <c r="AY32" s="149">
        <f>+ROUNDUP(AX32/AY$4,0)</f>
        <v>1</v>
      </c>
      <c r="AZ32" s="120">
        <f>+IF(AX32*AY32=0,0,(ROUNDUP(AX32/AY32,3)))</f>
        <v>2.72</v>
      </c>
      <c r="BA32" s="2">
        <f>+IF($D32&lt;&gt;"",BA$6*$P32/$T$4*VLOOKUP($M32,CÁRNICOS!$CD$13:$CJ$48,6,FALSE),BA$5*$P32/$T$4*$BA$1)</f>
        <v>0</v>
      </c>
      <c r="BB32" s="2">
        <f>+IF($D32&lt;&gt;"",BB$6*$Q32/$T$4*VLOOKUP($M32,CÁRNICOS!$CD$13:$CJ$48,6,FALSE),BB$5*$Q32/$T$4*$BA$1)</f>
        <v>0</v>
      </c>
      <c r="BC32" s="2">
        <f>+IF($D32&lt;&gt;"",BC$6*$R32/$T$4*VLOOKUP($M32,CÁRNICOS!$CD$13:$CJ$48,6,FALSE),BC$5*$R32/$T$4*$BA$1)</f>
        <v>0</v>
      </c>
      <c r="BD32" s="2">
        <f>+IF($D32&lt;&gt;"",BD$6*$S32/$T$4*VLOOKUP($M32,CÁRNICOS!$CD$13:$CJ$48,6,FALSE),BD$5*$S32/$T$4*$BA$1)</f>
        <v>0</v>
      </c>
      <c r="BE32" s="2">
        <f>+IF($D32&lt;&gt;"",BE$6*$T32/$T$4*VLOOKUP($M32,CÁRNICOS!$CD$13:$CJ$48,6,FALSE),BE$5*$T32/$T$4*$BA$1)</f>
        <v>0</v>
      </c>
      <c r="BF32" s="120">
        <f t="shared" si="2"/>
        <v>0</v>
      </c>
      <c r="BG32" s="149">
        <f t="shared" si="3"/>
        <v>0</v>
      </c>
      <c r="BH32" s="120">
        <f t="shared" si="4"/>
        <v>0</v>
      </c>
      <c r="BI32" s="2">
        <f>+IF($D32&lt;&gt;"",BI$6*$P32/$T$4*VLOOKUP($M32,CÁRNICOS!$CD$13:$CJ$48,7,FALSE),BI$5*$P32/$T$4*$BI$1)</f>
        <v>0</v>
      </c>
      <c r="BJ32" s="2">
        <f>+IF($D32&lt;&gt;"",BJ$6*$Q32/$T$4*VLOOKUP($M32,CÁRNICOS!$CD$13:$CJ$48,7,FALSE),BJ$5*$Q32/$T$4*$BI$1)</f>
        <v>0</v>
      </c>
      <c r="BK32" s="2">
        <f>+IF($D32&lt;&gt;"",BK$6*$R32/$T$4*VLOOKUP($M32,CÁRNICOS!$CD$13:$CJ$48,7,FALSE),BK$5*$R32/$T$4*$BI$1)</f>
        <v>0</v>
      </c>
      <c r="BL32" s="2">
        <f>+IF($D32&lt;&gt;"",BL$6*$S32/$T$4*VLOOKUP($M32,CÁRNICOS!$CD$13:$CJ$48,7,FALSE),BL$5*$S32/$T$4*$BI$1)</f>
        <v>0</v>
      </c>
      <c r="BM32" s="2">
        <f>+IF($D32&lt;&gt;"",BM$6*$T32/$T$4*VLOOKUP($M32,CÁRNICOS!$CD$13:$CJ$48,7,FALSE),BM$5*$T32/$T$4*$BI$1)</f>
        <v>0</v>
      </c>
      <c r="BN32" s="120">
        <f t="shared" si="5"/>
        <v>0</v>
      </c>
      <c r="BO32" s="149">
        <f t="shared" si="16"/>
        <v>0</v>
      </c>
      <c r="BP32" s="120">
        <f t="shared" si="17"/>
        <v>0</v>
      </c>
      <c r="BR32" s="74">
        <f t="shared" si="6"/>
        <v>1</v>
      </c>
      <c r="BS32" s="74" t="str">
        <f t="shared" si="7"/>
        <v>LA MERCED</v>
      </c>
      <c r="BT32" s="74" t="str">
        <f t="shared" si="8"/>
        <v>INSTITUCION EDUCATIVA MONSEÑOR ANTONIO JOSE GIRALDO GOMEZ</v>
      </c>
      <c r="BU32" s="74" t="str">
        <f t="shared" si="9"/>
        <v>INSTITUCION EDUCATIVA MONSEÑOR ANTONIO JOSE GIRALDO GOMEZ - SEDE PRINCIPAL</v>
      </c>
      <c r="BV32" s="74">
        <f t="shared" si="10"/>
        <v>0</v>
      </c>
      <c r="BW32" s="74">
        <f t="shared" si="11"/>
        <v>0</v>
      </c>
      <c r="BX32" s="74">
        <f t="shared" si="12"/>
        <v>0</v>
      </c>
      <c r="BY32" s="74">
        <f t="shared" si="13"/>
        <v>2.7199999999999998</v>
      </c>
      <c r="BZ32" s="74">
        <f t="shared" si="14"/>
        <v>0</v>
      </c>
      <c r="CA32" s="74">
        <f t="shared" si="15"/>
        <v>0</v>
      </c>
      <c r="CD32" s="135" t="str">
        <f>+CONSOLIDADO!C30</f>
        <v>SALAMINA</v>
      </c>
      <c r="CE32" s="136">
        <f t="shared" si="31"/>
        <v>0</v>
      </c>
      <c r="CF32" s="136">
        <f t="shared" si="31"/>
        <v>0</v>
      </c>
      <c r="CG32" s="136">
        <f t="shared" si="31"/>
        <v>0</v>
      </c>
      <c r="CH32" s="136">
        <f t="shared" si="31"/>
        <v>1</v>
      </c>
      <c r="CI32" s="136">
        <f t="shared" si="31"/>
        <v>0</v>
      </c>
      <c r="CJ32" s="136">
        <f t="shared" si="31"/>
        <v>0</v>
      </c>
    </row>
    <row r="33" spans="2:88" ht="29.45" customHeight="1" x14ac:dyDescent="0.3">
      <c r="B33" s="46">
        <f>+COUNTIF($M$8:M33,M33)</f>
        <v>1</v>
      </c>
      <c r="C33" s="14">
        <f>SUM(P33:T33)</f>
        <v>23</v>
      </c>
      <c r="D33" s="22" t="s">
        <v>73</v>
      </c>
      <c r="E33" s="124"/>
      <c r="F33" s="60"/>
      <c r="G33" s="60"/>
      <c r="H33" s="60"/>
      <c r="I33" s="60"/>
      <c r="J33" s="60"/>
      <c r="K33" s="59"/>
      <c r="L33" s="122">
        <v>1</v>
      </c>
      <c r="M33" s="164" t="s">
        <v>21</v>
      </c>
      <c r="N33" s="164" t="s">
        <v>275</v>
      </c>
      <c r="O33" s="165" t="s">
        <v>276</v>
      </c>
      <c r="P33" s="166">
        <v>0</v>
      </c>
      <c r="Q33" s="166">
        <v>13</v>
      </c>
      <c r="R33" s="167">
        <v>10</v>
      </c>
      <c r="S33" s="74">
        <v>0</v>
      </c>
      <c r="T33" s="74">
        <v>0</v>
      </c>
      <c r="U33" s="2">
        <f>+IF($D33&lt;&gt;"",U$6*$P33/$T$4*VLOOKUP($M33,CÁRNICOS!$CD$13:$CJ$48,2,FALSE),U$5*$P33/$T$4*$U$1)</f>
        <v>0</v>
      </c>
      <c r="V33" s="2">
        <f>+IF($D33&lt;&gt;"",V$6*$Q33/$T$4*VLOOKUP($M33,CÁRNICOS!$CD$13:$CJ$48,2,FALSE),V$5*$Q33/$T$4*$U$1)</f>
        <v>0</v>
      </c>
      <c r="W33" s="2">
        <f>+IF($D33&lt;&gt;"",W$6*$R33/$T$4*VLOOKUP($M33,CÁRNICOS!$CD$13:$CJ$48,2,FALSE),W$5*$R33/$T$4*$U$1)</f>
        <v>0</v>
      </c>
      <c r="X33" s="2">
        <f>+IF($D33&lt;&gt;"",X$6*$S33/$T$4*VLOOKUP($M33,CÁRNICOS!$CD$13:$CJ$48,2,FALSE),X$5*$S33/$T$4*$U$1)</f>
        <v>0</v>
      </c>
      <c r="Y33" s="2">
        <f>+IF($D33&lt;&gt;"",Y$6*$T33/$T$4*VLOOKUP($M33,CÁRNICOS!$CD$13:$CJ$48,2,FALSE),Y$5*$T33/$T$4*$U$1)</f>
        <v>0</v>
      </c>
      <c r="Z33" s="146">
        <f>IF($E33&lt;&gt;"",0,SUM(U33:Y33))</f>
        <v>0</v>
      </c>
      <c r="AA33" s="149">
        <f>+ROUNDUP(Z33/AA$4,0)</f>
        <v>0</v>
      </c>
      <c r="AB33" s="120">
        <f>+IF(Z33*AA33=0,0,(ROUNDUP(Z33/AA33,3)))</f>
        <v>0</v>
      </c>
      <c r="AC33" s="147">
        <f>+IF($D33&lt;&gt;"",AC$6*$P33/$T$4*VLOOKUP($M33,CÁRNICOS!$CD$13:$CJ$48,3,FALSE),AC$5*$P33/$T$4*$AC$1)</f>
        <v>0</v>
      </c>
      <c r="AD33" s="147">
        <f>+IF($D33&lt;&gt;"",AD$6*$Q33/$T$4*VLOOKUP($M33,CÁRNICOS!$CD$13:$CJ$48,3,FALSE),AD$5*$Q33/$T$4*$AC$1)</f>
        <v>0</v>
      </c>
      <c r="AE33" s="2">
        <f>+IF($D33&lt;&gt;"",AE$6*$R33/$T$4*VLOOKUP($M33,CÁRNICOS!$CD$13:$CJ$48,3,FALSE),AE$5*$R33/$T$4*$AC$1)</f>
        <v>0</v>
      </c>
      <c r="AF33" s="2">
        <f>+IF($D33&lt;&gt;"",AF$6*$S33/$T$4*VLOOKUP($M33,CÁRNICOS!$CD$13:$CJ$48,3,FALSE),AF$5*$S33/$T$4*$AC$1)</f>
        <v>0</v>
      </c>
      <c r="AG33" s="2">
        <f>+IF($D33&lt;&gt;"",AG$6*$T33/$T$4*VLOOKUP($M33,CÁRNICOS!$CD$13:$CJ$48,3,FALSE),AG$5*$T33/$T$4*$AC$1)</f>
        <v>0</v>
      </c>
      <c r="AH33" s="120">
        <f>IF($F33&lt;&gt;"",0,SUM(AC33:AG33))</f>
        <v>0</v>
      </c>
      <c r="AI33" s="149">
        <f>+ROUNDUP(AH33/AI$4,0)</f>
        <v>0</v>
      </c>
      <c r="AJ33" s="120">
        <f>+IF(AH33*AI33=0,0,(ROUNDUP(AH33/AI33,3)))</f>
        <v>0</v>
      </c>
      <c r="AK33" s="2">
        <f>+IF($D33&lt;&gt;"",AK$6*$P33/$T$4*VLOOKUP($M33,CÁRNICOS!$CD$13:$CJ$48,4,FALSE),AK$5*$P33/$T$4*$AK$1)</f>
        <v>0</v>
      </c>
      <c r="AL33" s="2">
        <f>+IF($D33&lt;&gt;"",AL$6*$Q33/$T$4*VLOOKUP($M33,CÁRNICOS!$CD$13:$CJ$48,4,FALSE),AL$5*$Q33/$T$4*$AK$1)</f>
        <v>0</v>
      </c>
      <c r="AM33" s="2">
        <f>+IF($D33&lt;&gt;"",AM$6*$R33/$T$4*VLOOKUP($M33,CÁRNICOS!$CD$13:$CJ$48,4,FALSE),AM$5*$R33/$T$4*$AK$1)</f>
        <v>0</v>
      </c>
      <c r="AN33" s="2">
        <f>+IF($D33&lt;&gt;"",AN$6*$S33/$T$4*VLOOKUP($M33,CÁRNICOS!$CD$13:$CJ$48,4,FALSE),AN$5*$S33/$T$4*$AK$1)</f>
        <v>0</v>
      </c>
      <c r="AO33" s="2">
        <f>+IF($D33&lt;&gt;"",AO$6*$T33/$T$4*VLOOKUP($M33,CÁRNICOS!$CD$13:$CJ$48,4,FALSE),AO$5*$T33/$T$4*$AK$1)</f>
        <v>0</v>
      </c>
      <c r="AP33" s="120">
        <f>IF($G33&lt;&gt;"",0,SUM(AK33:AO33))</f>
        <v>0</v>
      </c>
      <c r="AQ33" s="149">
        <f>+ROUNDUP(AP33/AQ$4,0)</f>
        <v>0</v>
      </c>
      <c r="AR33" s="120">
        <f>+IF(AP33*AQ33=0,0,(ROUNDUP(AP33/AQ33,3)))</f>
        <v>0</v>
      </c>
      <c r="AS33" s="2">
        <f>+IF($D33&lt;&gt;"",AS$6*$P33/$T$4*VLOOKUP($M33,CÁRNICOS!$CD$13:$CJ$48,5,FALSE),AS$5*$P33/$T$4*$AS$1)</f>
        <v>0</v>
      </c>
      <c r="AT33" s="2">
        <f>+IF($D33&lt;&gt;"",AT$6*$Q33/$T$4*VLOOKUP($M33,CÁRNICOS!$CD$13:$CJ$48,5,FALSE),AT$5*$Q33/$T$4*$AS$1)</f>
        <v>0.70199999999999996</v>
      </c>
      <c r="AU33" s="2">
        <f>+IF($D33&lt;&gt;"",AU$6*$R33/$T$4*VLOOKUP($M33,CÁRNICOS!$CD$13:$CJ$48,5,FALSE),AU$5*$R33/$T$4*$AS$1)</f>
        <v>0.65</v>
      </c>
      <c r="AV33" s="2">
        <f>+IF($D33&lt;&gt;"",AV$6*$S33/$T$4*VLOOKUP($M33,CÁRNICOS!$CD$13:$CJ$48,5,FALSE),AV$5*$S33/$T$4*$AS$1)</f>
        <v>0</v>
      </c>
      <c r="AW33" s="2">
        <f>+IF($D33&lt;&gt;"",AW$6*$T33/$T$4*VLOOKUP($M33,CÁRNICOS!$CD$13:$CJ$48,5,FALSE),AW$5*$T33/$T$4*$AS$1)</f>
        <v>0</v>
      </c>
      <c r="AX33" s="120">
        <f>IF($H33&lt;&gt;"",0,SUM(AS33:AW33))</f>
        <v>1.3519999999999999</v>
      </c>
      <c r="AY33" s="149">
        <f>+ROUNDUP(AX33/AY$4,0)</f>
        <v>1</v>
      </c>
      <c r="AZ33" s="120">
        <f>+IF(AX33*AY33=0,0,(ROUNDUP(AX33/AY33,3)))</f>
        <v>1.3520000000000001</v>
      </c>
      <c r="BA33" s="2">
        <f>+IF($D33&lt;&gt;"",BA$6*$P33/$T$4*VLOOKUP($M33,CÁRNICOS!$CD$13:$CJ$48,6,FALSE),BA$5*$P33/$T$4*$BA$1)</f>
        <v>0</v>
      </c>
      <c r="BB33" s="2">
        <f>+IF($D33&lt;&gt;"",BB$6*$Q33/$T$4*VLOOKUP($M33,CÁRNICOS!$CD$13:$CJ$48,6,FALSE),BB$5*$Q33/$T$4*$BA$1)</f>
        <v>0</v>
      </c>
      <c r="BC33" s="2">
        <f>+IF($D33&lt;&gt;"",BC$6*$R33/$T$4*VLOOKUP($M33,CÁRNICOS!$CD$13:$CJ$48,6,FALSE),BC$5*$R33/$T$4*$BA$1)</f>
        <v>0</v>
      </c>
      <c r="BD33" s="2">
        <f>+IF($D33&lt;&gt;"",BD$6*$S33/$T$4*VLOOKUP($M33,CÁRNICOS!$CD$13:$CJ$48,6,FALSE),BD$5*$S33/$T$4*$BA$1)</f>
        <v>0</v>
      </c>
      <c r="BE33" s="2">
        <f>+IF($D33&lt;&gt;"",BE$6*$T33/$T$4*VLOOKUP($M33,CÁRNICOS!$CD$13:$CJ$48,6,FALSE),BE$5*$T33/$T$4*$BA$1)</f>
        <v>0</v>
      </c>
      <c r="BF33" s="120">
        <f t="shared" si="2"/>
        <v>0</v>
      </c>
      <c r="BG33" s="149">
        <f t="shared" si="3"/>
        <v>0</v>
      </c>
      <c r="BH33" s="120">
        <f t="shared" si="4"/>
        <v>0</v>
      </c>
      <c r="BI33" s="2">
        <f>+IF($D33&lt;&gt;"",BI$6*$P33/$T$4*VLOOKUP($M33,CÁRNICOS!$CD$13:$CJ$48,7,FALSE),BI$5*$P33/$T$4*$BI$1)</f>
        <v>0</v>
      </c>
      <c r="BJ33" s="2">
        <f>+IF($D33&lt;&gt;"",BJ$6*$Q33/$T$4*VLOOKUP($M33,CÁRNICOS!$CD$13:$CJ$48,7,FALSE),BJ$5*$Q33/$T$4*$BI$1)</f>
        <v>0</v>
      </c>
      <c r="BK33" s="2">
        <f>+IF($D33&lt;&gt;"",BK$6*$R33/$T$4*VLOOKUP($M33,CÁRNICOS!$CD$13:$CJ$48,7,FALSE),BK$5*$R33/$T$4*$BI$1)</f>
        <v>0</v>
      </c>
      <c r="BL33" s="2">
        <f>+IF($D33&lt;&gt;"",BL$6*$S33/$T$4*VLOOKUP($M33,CÁRNICOS!$CD$13:$CJ$48,7,FALSE),BL$5*$S33/$T$4*$BI$1)</f>
        <v>0</v>
      </c>
      <c r="BM33" s="2">
        <f>+IF($D33&lt;&gt;"",BM$6*$T33/$T$4*VLOOKUP($M33,CÁRNICOS!$CD$13:$CJ$48,7,FALSE),BM$5*$T33/$T$4*$BI$1)</f>
        <v>0</v>
      </c>
      <c r="BN33" s="120">
        <f t="shared" si="5"/>
        <v>0</v>
      </c>
      <c r="BO33" s="149">
        <f t="shared" si="16"/>
        <v>0</v>
      </c>
      <c r="BP33" s="120">
        <f t="shared" si="17"/>
        <v>0</v>
      </c>
      <c r="BR33" s="74">
        <f t="shared" si="6"/>
        <v>1</v>
      </c>
      <c r="BS33" s="74" t="str">
        <f t="shared" si="7"/>
        <v>MANZANARES</v>
      </c>
      <c r="BT33" s="74" t="str">
        <f t="shared" si="8"/>
        <v>INSTITUCION EDUCATIVA MANZANARES</v>
      </c>
      <c r="BU33" s="74" t="str">
        <f t="shared" si="9"/>
        <v>CONCENTRACIÓN SAN LUIS GONZAGA</v>
      </c>
      <c r="BV33" s="74">
        <f t="shared" si="10"/>
        <v>0</v>
      </c>
      <c r="BW33" s="74">
        <f t="shared" si="11"/>
        <v>0</v>
      </c>
      <c r="BX33" s="74">
        <f t="shared" si="12"/>
        <v>0</v>
      </c>
      <c r="BY33" s="74">
        <f t="shared" si="13"/>
        <v>1.3519999999999999</v>
      </c>
      <c r="BZ33" s="74">
        <f t="shared" si="14"/>
        <v>0</v>
      </c>
      <c r="CA33" s="74">
        <f t="shared" si="15"/>
        <v>0</v>
      </c>
      <c r="CD33" s="135" t="str">
        <f>+CONSOLIDADO!C31</f>
        <v>ARANZAZU</v>
      </c>
      <c r="CE33" s="136">
        <f t="shared" si="31"/>
        <v>0</v>
      </c>
      <c r="CF33" s="136">
        <f t="shared" si="31"/>
        <v>0</v>
      </c>
      <c r="CG33" s="136">
        <f t="shared" si="31"/>
        <v>0</v>
      </c>
      <c r="CH33" s="136">
        <f t="shared" si="31"/>
        <v>1</v>
      </c>
      <c r="CI33" s="136">
        <f t="shared" si="31"/>
        <v>0</v>
      </c>
      <c r="CJ33" s="136">
        <f t="shared" si="31"/>
        <v>0</v>
      </c>
    </row>
    <row r="34" spans="2:88" ht="29.95" customHeight="1" x14ac:dyDescent="0.3">
      <c r="B34" s="46">
        <f>+COUNTIF($M$8:M34,M34)</f>
        <v>2</v>
      </c>
      <c r="C34" s="14">
        <f>SUM(P34:T34)</f>
        <v>14</v>
      </c>
      <c r="D34" s="22" t="s">
        <v>73</v>
      </c>
      <c r="E34" s="124"/>
      <c r="F34" s="60"/>
      <c r="G34" s="60"/>
      <c r="H34" s="60"/>
      <c r="I34" s="60"/>
      <c r="J34" s="60"/>
      <c r="K34" s="59"/>
      <c r="L34" s="122">
        <v>6</v>
      </c>
      <c r="M34" s="164" t="s">
        <v>21</v>
      </c>
      <c r="N34" s="164" t="s">
        <v>205</v>
      </c>
      <c r="O34" s="165" t="s">
        <v>206</v>
      </c>
      <c r="P34" s="166">
        <v>8</v>
      </c>
      <c r="Q34" s="166">
        <v>0</v>
      </c>
      <c r="R34" s="167">
        <v>0</v>
      </c>
      <c r="S34" s="74">
        <v>3</v>
      </c>
      <c r="T34" s="74">
        <v>3</v>
      </c>
      <c r="U34" s="2">
        <f>+IF($D34&lt;&gt;"",U$6*$P34/$T$4*VLOOKUP($M34,CÁRNICOS!$CD$13:$CJ$48,2,FALSE),U$5*$P34/$T$4*$U$1)</f>
        <v>0</v>
      </c>
      <c r="V34" s="2">
        <f>+IF($D34&lt;&gt;"",V$6*$Q34/$T$4*VLOOKUP($M34,CÁRNICOS!$CD$13:$CJ$48,2,FALSE),V$5*$Q34/$T$4*$U$1)</f>
        <v>0</v>
      </c>
      <c r="W34" s="2">
        <f>+IF($D34&lt;&gt;"",W$6*$R34/$T$4*VLOOKUP($M34,CÁRNICOS!$CD$13:$CJ$48,2,FALSE),W$5*$R34/$T$4*$U$1)</f>
        <v>0</v>
      </c>
      <c r="X34" s="2">
        <f>+IF($D34&lt;&gt;"",X$6*$S34/$T$4*VLOOKUP($M34,CÁRNICOS!$CD$13:$CJ$48,2,FALSE),X$5*$S34/$T$4*$U$1)</f>
        <v>0</v>
      </c>
      <c r="Y34" s="2">
        <f>+IF($D34&lt;&gt;"",Y$6*$T34/$T$4*VLOOKUP($M34,CÁRNICOS!$CD$13:$CJ$48,2,FALSE),Y$5*$T34/$T$4*$U$1)</f>
        <v>0</v>
      </c>
      <c r="Z34" s="146">
        <f>IF($E34&lt;&gt;"",0,SUM(U34:Y34))</f>
        <v>0</v>
      </c>
      <c r="AA34" s="149">
        <f>+ROUNDUP(Z34/AA$4,0)</f>
        <v>0</v>
      </c>
      <c r="AB34" s="120">
        <f>+IF(Z34*AA34=0,0,(ROUNDUP(Z34/AA34,3)))</f>
        <v>0</v>
      </c>
      <c r="AC34" s="147">
        <f>+IF($D34&lt;&gt;"",AC$6*$P34/$T$4*VLOOKUP($M34,CÁRNICOS!$CD$13:$CJ$48,3,FALSE),AC$5*$P34/$T$4*$AC$1)</f>
        <v>0</v>
      </c>
      <c r="AD34" s="147">
        <f>+IF($D34&lt;&gt;"",AD$6*$Q34/$T$4*VLOOKUP($M34,CÁRNICOS!$CD$13:$CJ$48,3,FALSE),AD$5*$Q34/$T$4*$AC$1)</f>
        <v>0</v>
      </c>
      <c r="AE34" s="2">
        <f>+IF($D34&lt;&gt;"",AE$6*$R34/$T$4*VLOOKUP($M34,CÁRNICOS!$CD$13:$CJ$48,3,FALSE),AE$5*$R34/$T$4*$AC$1)</f>
        <v>0</v>
      </c>
      <c r="AF34" s="2">
        <f>+IF($D34&lt;&gt;"",AF$6*$S34/$T$4*VLOOKUP($M34,CÁRNICOS!$CD$13:$CJ$48,3,FALSE),AF$5*$S34/$T$4*$AC$1)</f>
        <v>0</v>
      </c>
      <c r="AG34" s="2">
        <f>+IF($D34&lt;&gt;"",AG$6*$T34/$T$4*VLOOKUP($M34,CÁRNICOS!$CD$13:$CJ$48,3,FALSE),AG$5*$T34/$T$4*$AC$1)</f>
        <v>0</v>
      </c>
      <c r="AH34" s="120">
        <f>IF($F34&lt;&gt;"",0,SUM(AC34:AG34))</f>
        <v>0</v>
      </c>
      <c r="AI34" s="149">
        <f>+ROUNDUP(AH34/AI$4,0)</f>
        <v>0</v>
      </c>
      <c r="AJ34" s="120">
        <f>+IF(AH34*AI34=0,0,(ROUNDUP(AH34/AI34,3)))</f>
        <v>0</v>
      </c>
      <c r="AK34" s="2">
        <f>+IF($D34&lt;&gt;"",AK$6*$P34/$T$4*VLOOKUP($M34,CÁRNICOS!$CD$13:$CJ$48,4,FALSE),AK$5*$P34/$T$4*$AK$1)</f>
        <v>0</v>
      </c>
      <c r="AL34" s="2">
        <f>+IF($D34&lt;&gt;"",AL$6*$Q34/$T$4*VLOOKUP($M34,CÁRNICOS!$CD$13:$CJ$48,4,FALSE),AL$5*$Q34/$T$4*$AK$1)</f>
        <v>0</v>
      </c>
      <c r="AM34" s="2">
        <f>+IF($D34&lt;&gt;"",AM$6*$R34/$T$4*VLOOKUP($M34,CÁRNICOS!$CD$13:$CJ$48,4,FALSE),AM$5*$R34/$T$4*$AK$1)</f>
        <v>0</v>
      </c>
      <c r="AN34" s="2">
        <f>+IF($D34&lt;&gt;"",AN$6*$S34/$T$4*VLOOKUP($M34,CÁRNICOS!$CD$13:$CJ$48,4,FALSE),AN$5*$S34/$T$4*$AK$1)</f>
        <v>0</v>
      </c>
      <c r="AO34" s="2">
        <f>+IF($D34&lt;&gt;"",AO$6*$T34/$T$4*VLOOKUP($M34,CÁRNICOS!$CD$13:$CJ$48,4,FALSE),AO$5*$T34/$T$4*$AK$1)</f>
        <v>0</v>
      </c>
      <c r="AP34" s="120">
        <f>IF($G34&lt;&gt;"",0,SUM(AK34:AO34))</f>
        <v>0</v>
      </c>
      <c r="AQ34" s="149">
        <f>+ROUNDUP(AP34/AQ$4,0)</f>
        <v>0</v>
      </c>
      <c r="AR34" s="120">
        <f>+IF(AP34*AQ34=0,0,(ROUNDUP(AP34/AQ34,3)))</f>
        <v>0</v>
      </c>
      <c r="AS34" s="2">
        <f>+IF($D34&lt;&gt;"",AS$6*$P34/$T$4*VLOOKUP($M34,CÁRNICOS!$CD$13:$CJ$48,5,FALSE),AS$5*$P34/$T$4*$AS$1)</f>
        <v>0.432</v>
      </c>
      <c r="AT34" s="2">
        <f>+IF($D34&lt;&gt;"",AT$6*$Q34/$T$4*VLOOKUP($M34,CÁRNICOS!$CD$13:$CJ$48,5,FALSE),AT$5*$Q34/$T$4*$AS$1)</f>
        <v>0</v>
      </c>
      <c r="AU34" s="2">
        <f>+IF($D34&lt;&gt;"",AU$6*$R34/$T$4*VLOOKUP($M34,CÁRNICOS!$CD$13:$CJ$48,5,FALSE),AU$5*$R34/$T$4*$AS$1)</f>
        <v>0</v>
      </c>
      <c r="AV34" s="2">
        <f>+IF($D34&lt;&gt;"",AV$6*$S34/$T$4*VLOOKUP($M34,CÁRNICOS!$CD$13:$CJ$48,5,FALSE),AV$5*$S34/$T$4*$AS$1)</f>
        <v>0.24</v>
      </c>
      <c r="AW34" s="2">
        <f>+IF($D34&lt;&gt;"",AW$6*$T34/$T$4*VLOOKUP($M34,CÁRNICOS!$CD$13:$CJ$48,5,FALSE),AW$5*$T34/$T$4*$AS$1)</f>
        <v>0.3</v>
      </c>
      <c r="AX34" s="120">
        <f>IF($H34&lt;&gt;"",0,SUM(AS34:AW34))</f>
        <v>0.97199999999999998</v>
      </c>
      <c r="AY34" s="149">
        <f>+ROUNDUP(AX34/AY$4,0)</f>
        <v>1</v>
      </c>
      <c r="AZ34" s="120">
        <f>+IF(AX34*AY34=0,0,(ROUNDUP(AX34/AY34,3)))</f>
        <v>0.97199999999999998</v>
      </c>
      <c r="BA34" s="2">
        <f>+IF($D34&lt;&gt;"",BA$6*$P34/$T$4*VLOOKUP($M34,CÁRNICOS!$CD$13:$CJ$48,6,FALSE),BA$5*$P34/$T$4*$BA$1)</f>
        <v>0</v>
      </c>
      <c r="BB34" s="2">
        <f>+IF($D34&lt;&gt;"",BB$6*$Q34/$T$4*VLOOKUP($M34,CÁRNICOS!$CD$13:$CJ$48,6,FALSE),BB$5*$Q34/$T$4*$BA$1)</f>
        <v>0</v>
      </c>
      <c r="BC34" s="2">
        <f>+IF($D34&lt;&gt;"",BC$6*$R34/$T$4*VLOOKUP($M34,CÁRNICOS!$CD$13:$CJ$48,6,FALSE),BC$5*$R34/$T$4*$BA$1)</f>
        <v>0</v>
      </c>
      <c r="BD34" s="2">
        <f>+IF($D34&lt;&gt;"",BD$6*$S34/$T$4*VLOOKUP($M34,CÁRNICOS!$CD$13:$CJ$48,6,FALSE),BD$5*$S34/$T$4*$BA$1)</f>
        <v>0</v>
      </c>
      <c r="BE34" s="2">
        <f>+IF($D34&lt;&gt;"",BE$6*$T34/$T$4*VLOOKUP($M34,CÁRNICOS!$CD$13:$CJ$48,6,FALSE),BE$5*$T34/$T$4*$BA$1)</f>
        <v>0</v>
      </c>
      <c r="BF34" s="120">
        <f t="shared" si="2"/>
        <v>0</v>
      </c>
      <c r="BG34" s="149">
        <f t="shared" si="3"/>
        <v>0</v>
      </c>
      <c r="BH34" s="120">
        <f t="shared" si="4"/>
        <v>0</v>
      </c>
      <c r="BI34" s="2">
        <f>+IF($D34&lt;&gt;"",BI$6*$P34/$T$4*VLOOKUP($M34,CÁRNICOS!$CD$13:$CJ$48,7,FALSE),BI$5*$P34/$T$4*$BI$1)</f>
        <v>0</v>
      </c>
      <c r="BJ34" s="2">
        <f>+IF($D34&lt;&gt;"",BJ$6*$Q34/$T$4*VLOOKUP($M34,CÁRNICOS!$CD$13:$CJ$48,7,FALSE),BJ$5*$Q34/$T$4*$BI$1)</f>
        <v>0</v>
      </c>
      <c r="BK34" s="2">
        <f>+IF($D34&lt;&gt;"",BK$6*$R34/$T$4*VLOOKUP($M34,CÁRNICOS!$CD$13:$CJ$48,7,FALSE),BK$5*$R34/$T$4*$BI$1)</f>
        <v>0</v>
      </c>
      <c r="BL34" s="2">
        <f>+IF($D34&lt;&gt;"",BL$6*$S34/$T$4*VLOOKUP($M34,CÁRNICOS!$CD$13:$CJ$48,7,FALSE),BL$5*$S34/$T$4*$BI$1)</f>
        <v>0</v>
      </c>
      <c r="BM34" s="2">
        <f>+IF($D34&lt;&gt;"",BM$6*$T34/$T$4*VLOOKUP($M34,CÁRNICOS!$CD$13:$CJ$48,7,FALSE),BM$5*$T34/$T$4*$BI$1)</f>
        <v>0</v>
      </c>
      <c r="BN34" s="120">
        <f t="shared" si="5"/>
        <v>0</v>
      </c>
      <c r="BO34" s="149">
        <f t="shared" si="16"/>
        <v>0</v>
      </c>
      <c r="BP34" s="120">
        <f t="shared" si="17"/>
        <v>0</v>
      </c>
      <c r="BR34" s="74">
        <f t="shared" si="6"/>
        <v>6</v>
      </c>
      <c r="BS34" s="74" t="str">
        <f t="shared" si="7"/>
        <v>MANZANARES</v>
      </c>
      <c r="BT34" s="74" t="str">
        <f t="shared" si="8"/>
        <v>INSTITUCION EDUCATIVA GREGORIO GUTIERREZ GONZALEZ</v>
      </c>
      <c r="BU34" s="74" t="str">
        <f t="shared" si="9"/>
        <v>INSTITUCION EDUCATIVA GREGORIO GUTIERREZ GONZALEZ - SEDE PRINCIPAL</v>
      </c>
      <c r="BV34" s="74">
        <f t="shared" si="10"/>
        <v>0</v>
      </c>
      <c r="BW34" s="74">
        <f t="shared" si="11"/>
        <v>0</v>
      </c>
      <c r="BX34" s="74">
        <f t="shared" si="12"/>
        <v>0</v>
      </c>
      <c r="BY34" s="74">
        <f t="shared" si="13"/>
        <v>0.97199999999999998</v>
      </c>
      <c r="BZ34" s="74">
        <f t="shared" si="14"/>
        <v>0</v>
      </c>
      <c r="CA34" s="74">
        <f t="shared" si="15"/>
        <v>0</v>
      </c>
      <c r="CD34" s="135" t="str">
        <f>+CONSOLIDADO!C32</f>
        <v>TOTAL NORTE</v>
      </c>
      <c r="CE34" s="136">
        <f t="shared" si="31"/>
        <v>0</v>
      </c>
      <c r="CF34" s="136">
        <f t="shared" si="31"/>
        <v>0</v>
      </c>
      <c r="CG34" s="136">
        <f t="shared" si="31"/>
        <v>0</v>
      </c>
      <c r="CH34" s="136">
        <f t="shared" si="31"/>
        <v>1</v>
      </c>
      <c r="CI34" s="136">
        <f t="shared" si="31"/>
        <v>0</v>
      </c>
      <c r="CJ34" s="136">
        <f t="shared" si="31"/>
        <v>0</v>
      </c>
    </row>
    <row r="35" spans="2:88" ht="29.95" customHeight="1" x14ac:dyDescent="0.3">
      <c r="B35" s="46">
        <f>+COUNTIF($M$8:M35,M35)</f>
        <v>1</v>
      </c>
      <c r="C35" s="14">
        <f>SUM(P35:T35)</f>
        <v>206</v>
      </c>
      <c r="D35" s="22" t="s">
        <v>73</v>
      </c>
      <c r="E35" s="124"/>
      <c r="F35" s="60"/>
      <c r="G35" s="60"/>
      <c r="H35" s="60"/>
      <c r="I35" s="60"/>
      <c r="J35" s="60"/>
      <c r="K35" s="59"/>
      <c r="L35" s="122">
        <v>1</v>
      </c>
      <c r="M35" s="162" t="s">
        <v>66</v>
      </c>
      <c r="N35" s="162" t="s">
        <v>246</v>
      </c>
      <c r="O35" s="163" t="s">
        <v>247</v>
      </c>
      <c r="P35" s="74">
        <v>66</v>
      </c>
      <c r="Q35" s="74">
        <v>140</v>
      </c>
      <c r="R35" s="139">
        <v>0</v>
      </c>
      <c r="S35" s="74">
        <v>0</v>
      </c>
      <c r="T35" s="74">
        <v>0</v>
      </c>
      <c r="U35" s="2">
        <f>+IF($D35&lt;&gt;"",U$6*$P35/$T$4*VLOOKUP($M35,CÁRNICOS!$CD$13:$CJ$48,2,FALSE),U$5*$P35/$T$4*$U$1)</f>
        <v>0</v>
      </c>
      <c r="V35" s="2">
        <f>+IF($D35&lt;&gt;"",V$6*$Q35/$T$4*VLOOKUP($M35,CÁRNICOS!$CD$13:$CJ$48,2,FALSE),V$5*$Q35/$T$4*$U$1)</f>
        <v>0</v>
      </c>
      <c r="W35" s="2">
        <f>+IF($D35&lt;&gt;"",W$6*$R35/$T$4*VLOOKUP($M35,CÁRNICOS!$CD$13:$CJ$48,2,FALSE),W$5*$R35/$T$4*$U$1)</f>
        <v>0</v>
      </c>
      <c r="X35" s="2">
        <f>+IF($D35&lt;&gt;"",X$6*$S35/$T$4*VLOOKUP($M35,CÁRNICOS!$CD$13:$CJ$48,2,FALSE),X$5*$S35/$T$4*$U$1)</f>
        <v>0</v>
      </c>
      <c r="Y35" s="2">
        <f>+IF($D35&lt;&gt;"",Y$6*$T35/$T$4*VLOOKUP($M35,CÁRNICOS!$CD$13:$CJ$48,2,FALSE),Y$5*$T35/$T$4*$U$1)</f>
        <v>0</v>
      </c>
      <c r="Z35" s="146">
        <f>IF($E35&lt;&gt;"",0,SUM(U35:Y35))</f>
        <v>0</v>
      </c>
      <c r="AA35" s="149">
        <f>+ROUNDUP(Z35/AA$4,0)</f>
        <v>0</v>
      </c>
      <c r="AB35" s="120">
        <f>+IF(Z35*AA35=0,0,(ROUNDUP(Z35/AA35,3)))</f>
        <v>0</v>
      </c>
      <c r="AC35" s="147">
        <f>+IF($D35&lt;&gt;"",AC$6*$P35/$T$4*VLOOKUP($M35,CÁRNICOS!$CD$13:$CJ$48,3,FALSE),AC$5*$P35/$T$4*$AC$1)</f>
        <v>0</v>
      </c>
      <c r="AD35" s="147">
        <f>+IF($D35&lt;&gt;"",AD$6*$Q35/$T$4*VLOOKUP($M35,CÁRNICOS!$CD$13:$CJ$48,3,FALSE),AD$5*$Q35/$T$4*$AC$1)</f>
        <v>0</v>
      </c>
      <c r="AE35" s="2">
        <f>+IF($D35&lt;&gt;"",AE$6*$R35/$T$4*VLOOKUP($M35,CÁRNICOS!$CD$13:$CJ$48,3,FALSE),AE$5*$R35/$T$4*$AC$1)</f>
        <v>0</v>
      </c>
      <c r="AF35" s="2">
        <f>+IF($D35&lt;&gt;"",AF$6*$S35/$T$4*VLOOKUP($M35,CÁRNICOS!$CD$13:$CJ$48,3,FALSE),AF$5*$S35/$T$4*$AC$1)</f>
        <v>0</v>
      </c>
      <c r="AG35" s="2">
        <f>+IF($D35&lt;&gt;"",AG$6*$T35/$T$4*VLOOKUP($M35,CÁRNICOS!$CD$13:$CJ$48,3,FALSE),AG$5*$T35/$T$4*$AC$1)</f>
        <v>0</v>
      </c>
      <c r="AH35" s="120">
        <f>IF($F35&lt;&gt;"",0,SUM(AC35:AG35))</f>
        <v>0</v>
      </c>
      <c r="AI35" s="149">
        <f>+ROUNDUP(AH35/AI$4,0)</f>
        <v>0</v>
      </c>
      <c r="AJ35" s="120">
        <f>+IF(AH35*AI35=0,0,(ROUNDUP(AH35/AI35,3)))</f>
        <v>0</v>
      </c>
      <c r="AK35" s="2">
        <f>+IF($D35&lt;&gt;"",AK$6*$P35/$T$4*VLOOKUP($M35,CÁRNICOS!$CD$13:$CJ$48,4,FALSE),AK$5*$P35/$T$4*$AK$1)</f>
        <v>0</v>
      </c>
      <c r="AL35" s="2">
        <f>+IF($D35&lt;&gt;"",AL$6*$Q35/$T$4*VLOOKUP($M35,CÁRNICOS!$CD$13:$CJ$48,4,FALSE),AL$5*$Q35/$T$4*$AK$1)</f>
        <v>0</v>
      </c>
      <c r="AM35" s="2">
        <f>+IF($D35&lt;&gt;"",AM$6*$R35/$T$4*VLOOKUP($M35,CÁRNICOS!$CD$13:$CJ$48,4,FALSE),AM$5*$R35/$T$4*$AK$1)</f>
        <v>0</v>
      </c>
      <c r="AN35" s="2">
        <f>+IF($D35&lt;&gt;"",AN$6*$S35/$T$4*VLOOKUP($M35,CÁRNICOS!$CD$13:$CJ$48,4,FALSE),AN$5*$S35/$T$4*$AK$1)</f>
        <v>0</v>
      </c>
      <c r="AO35" s="2">
        <f>+IF($D35&lt;&gt;"",AO$6*$T35/$T$4*VLOOKUP($M35,CÁRNICOS!$CD$13:$CJ$48,4,FALSE),AO$5*$T35/$T$4*$AK$1)</f>
        <v>0</v>
      </c>
      <c r="AP35" s="120">
        <f>IF($G35&lt;&gt;"",0,SUM(AK35:AO35))</f>
        <v>0</v>
      </c>
      <c r="AQ35" s="149">
        <f>+ROUNDUP(AP35/AQ$4,0)</f>
        <v>0</v>
      </c>
      <c r="AR35" s="120">
        <f>+IF(AP35*AQ35=0,0,(ROUNDUP(AP35/AQ35,3)))</f>
        <v>0</v>
      </c>
      <c r="AS35" s="2">
        <f>+IF($D35&lt;&gt;"",AS$6*$P35/$T$4*VLOOKUP($M35,CÁRNICOS!$CD$13:$CJ$48,5,FALSE),AS$5*$P35/$T$4*$AS$1)</f>
        <v>3.5640000000000001</v>
      </c>
      <c r="AT35" s="2">
        <f>+IF($D35&lt;&gt;"",AT$6*$Q35/$T$4*VLOOKUP($M35,CÁRNICOS!$CD$13:$CJ$48,5,FALSE),AT$5*$Q35/$T$4*$AS$1)</f>
        <v>7.56</v>
      </c>
      <c r="AU35" s="2">
        <f>+IF($D35&lt;&gt;"",AU$6*$R35/$T$4*VLOOKUP($M35,CÁRNICOS!$CD$13:$CJ$48,5,FALSE),AU$5*$R35/$T$4*$AS$1)</f>
        <v>0</v>
      </c>
      <c r="AV35" s="2">
        <f>+IF($D35&lt;&gt;"",AV$6*$S35/$T$4*VLOOKUP($M35,CÁRNICOS!$CD$13:$CJ$48,5,FALSE),AV$5*$S35/$T$4*$AS$1)</f>
        <v>0</v>
      </c>
      <c r="AW35" s="2">
        <f>+IF($D35&lt;&gt;"",AW$6*$T35/$T$4*VLOOKUP($M35,CÁRNICOS!$CD$13:$CJ$48,5,FALSE),AW$5*$T35/$T$4*$AS$1)</f>
        <v>0</v>
      </c>
      <c r="AX35" s="120">
        <f>IF($H35&lt;&gt;"",0,SUM(AS35:AW35))</f>
        <v>11.123999999999999</v>
      </c>
      <c r="AY35" s="149">
        <f>+ROUNDUP(AX35/AY$4,0)</f>
        <v>2</v>
      </c>
      <c r="AZ35" s="120">
        <f>+IF(AX35*AY35=0,0,(ROUNDUP(AX35/AY35,3)))</f>
        <v>5.5620000000000003</v>
      </c>
      <c r="BA35" s="2">
        <f>+IF($D35&lt;&gt;"",BA$6*$P35/$T$4*VLOOKUP($M35,CÁRNICOS!$CD$13:$CJ$48,6,FALSE),BA$5*$P35/$T$4*$BA$1)</f>
        <v>0</v>
      </c>
      <c r="BB35" s="2">
        <f>+IF($D35&lt;&gt;"",BB$6*$Q35/$T$4*VLOOKUP($M35,CÁRNICOS!$CD$13:$CJ$48,6,FALSE),BB$5*$Q35/$T$4*$BA$1)</f>
        <v>0</v>
      </c>
      <c r="BC35" s="2">
        <f>+IF($D35&lt;&gt;"",BC$6*$R35/$T$4*VLOOKUP($M35,CÁRNICOS!$CD$13:$CJ$48,6,FALSE),BC$5*$R35/$T$4*$BA$1)</f>
        <v>0</v>
      </c>
      <c r="BD35" s="2">
        <f>+IF($D35&lt;&gt;"",BD$6*$S35/$T$4*VLOOKUP($M35,CÁRNICOS!$CD$13:$CJ$48,6,FALSE),BD$5*$S35/$T$4*$BA$1)</f>
        <v>0</v>
      </c>
      <c r="BE35" s="2">
        <f>+IF($D35&lt;&gt;"",BE$6*$T35/$T$4*VLOOKUP($M35,CÁRNICOS!$CD$13:$CJ$48,6,FALSE),BE$5*$T35/$T$4*$BA$1)</f>
        <v>0</v>
      </c>
      <c r="BF35" s="120">
        <f t="shared" si="2"/>
        <v>0</v>
      </c>
      <c r="BG35" s="149">
        <f t="shared" si="3"/>
        <v>0</v>
      </c>
      <c r="BH35" s="120">
        <f t="shared" si="4"/>
        <v>0</v>
      </c>
      <c r="BI35" s="2">
        <f>+IF($D35&lt;&gt;"",BI$6*$P35/$T$4*VLOOKUP($M35,CÁRNICOS!$CD$13:$CJ$48,7,FALSE),BI$5*$P35/$T$4*$BI$1)</f>
        <v>0</v>
      </c>
      <c r="BJ35" s="2">
        <f>+IF($D35&lt;&gt;"",BJ$6*$Q35/$T$4*VLOOKUP($M35,CÁRNICOS!$CD$13:$CJ$48,7,FALSE),BJ$5*$Q35/$T$4*$BI$1)</f>
        <v>0</v>
      </c>
      <c r="BK35" s="2">
        <f>+IF($D35&lt;&gt;"",BK$6*$R35/$T$4*VLOOKUP($M35,CÁRNICOS!$CD$13:$CJ$48,7,FALSE),BK$5*$R35/$T$4*$BI$1)</f>
        <v>0</v>
      </c>
      <c r="BL35" s="2">
        <f>+IF($D35&lt;&gt;"",BL$6*$S35/$T$4*VLOOKUP($M35,CÁRNICOS!$CD$13:$CJ$48,7,FALSE),BL$5*$S35/$T$4*$BI$1)</f>
        <v>0</v>
      </c>
      <c r="BM35" s="2">
        <f>+IF($D35&lt;&gt;"",BM$6*$T35/$T$4*VLOOKUP($M35,CÁRNICOS!$CD$13:$CJ$48,7,FALSE),BM$5*$T35/$T$4*$BI$1)</f>
        <v>0</v>
      </c>
      <c r="BN35" s="120">
        <f t="shared" si="5"/>
        <v>0</v>
      </c>
      <c r="BO35" s="149">
        <f t="shared" si="16"/>
        <v>0</v>
      </c>
      <c r="BP35" s="120">
        <f t="shared" si="17"/>
        <v>0</v>
      </c>
      <c r="BR35" s="74">
        <f t="shared" si="6"/>
        <v>1</v>
      </c>
      <c r="BS35" s="74" t="str">
        <f t="shared" si="7"/>
        <v>MARMATO</v>
      </c>
      <c r="BT35" s="74" t="str">
        <f t="shared" si="8"/>
        <v>INSTITUCION EDUCATIVA EL LLANO</v>
      </c>
      <c r="BU35" s="74" t="str">
        <f t="shared" si="9"/>
        <v>INSTITUCION EDUCATIVA EL LLANO - SEDE PRINCIPAL</v>
      </c>
      <c r="BV35" s="74">
        <f t="shared" si="10"/>
        <v>0</v>
      </c>
      <c r="BW35" s="74">
        <f t="shared" si="11"/>
        <v>0</v>
      </c>
      <c r="BX35" s="74">
        <f t="shared" si="12"/>
        <v>0</v>
      </c>
      <c r="BY35" s="74">
        <f t="shared" si="13"/>
        <v>11.123999999999999</v>
      </c>
      <c r="BZ35" s="74">
        <f t="shared" si="14"/>
        <v>0</v>
      </c>
      <c r="CA35" s="74">
        <f t="shared" si="15"/>
        <v>0</v>
      </c>
      <c r="CD35" s="135" t="str">
        <f>+CONSOLIDADO!C33</f>
        <v>ANSERMA</v>
      </c>
      <c r="CE35" s="136">
        <f t="shared" si="31"/>
        <v>0</v>
      </c>
      <c r="CF35" s="136">
        <f t="shared" si="31"/>
        <v>0</v>
      </c>
      <c r="CG35" s="136">
        <f t="shared" si="31"/>
        <v>0</v>
      </c>
      <c r="CH35" s="136">
        <f t="shared" si="31"/>
        <v>1</v>
      </c>
      <c r="CI35" s="136">
        <f t="shared" si="31"/>
        <v>0</v>
      </c>
      <c r="CJ35" s="136">
        <f t="shared" si="31"/>
        <v>0</v>
      </c>
    </row>
    <row r="36" spans="2:88" ht="29.95" customHeight="1" x14ac:dyDescent="0.3">
      <c r="B36" s="46">
        <f>+COUNTIF($M$8:M36,M36)</f>
        <v>2</v>
      </c>
      <c r="C36" s="14">
        <f>SUM(P36:T36)</f>
        <v>61</v>
      </c>
      <c r="D36" s="22" t="s">
        <v>73</v>
      </c>
      <c r="E36" s="124"/>
      <c r="F36" s="60"/>
      <c r="G36" s="60"/>
      <c r="H36" s="60"/>
      <c r="I36" s="60"/>
      <c r="J36" s="60"/>
      <c r="K36" s="59"/>
      <c r="L36" s="122">
        <v>1</v>
      </c>
      <c r="M36" s="162" t="s">
        <v>66</v>
      </c>
      <c r="N36" s="162" t="s">
        <v>250</v>
      </c>
      <c r="O36" s="163" t="s">
        <v>251</v>
      </c>
      <c r="P36" s="74">
        <v>0</v>
      </c>
      <c r="Q36" s="74">
        <v>51</v>
      </c>
      <c r="R36" s="139">
        <v>10</v>
      </c>
      <c r="S36" s="74">
        <v>0</v>
      </c>
      <c r="T36" s="74">
        <v>0</v>
      </c>
      <c r="U36" s="2">
        <f>+IF($D36&lt;&gt;"",U$6*$P36/$T$4*VLOOKUP($M36,CÁRNICOS!$CD$13:$CJ$48,2,FALSE),U$5*$P36/$T$4*$U$1)</f>
        <v>0</v>
      </c>
      <c r="V36" s="2">
        <f>+IF($D36&lt;&gt;"",V$6*$Q36/$T$4*VLOOKUP($M36,CÁRNICOS!$CD$13:$CJ$48,2,FALSE),V$5*$Q36/$T$4*$U$1)</f>
        <v>0</v>
      </c>
      <c r="W36" s="2">
        <f>+IF($D36&lt;&gt;"",W$6*$R36/$T$4*VLOOKUP($M36,CÁRNICOS!$CD$13:$CJ$48,2,FALSE),W$5*$R36/$T$4*$U$1)</f>
        <v>0</v>
      </c>
      <c r="X36" s="2">
        <f>+IF($D36&lt;&gt;"",X$6*$S36/$T$4*VLOOKUP($M36,CÁRNICOS!$CD$13:$CJ$48,2,FALSE),X$5*$S36/$T$4*$U$1)</f>
        <v>0</v>
      </c>
      <c r="Y36" s="2">
        <f>+IF($D36&lt;&gt;"",Y$6*$T36/$T$4*VLOOKUP($M36,CÁRNICOS!$CD$13:$CJ$48,2,FALSE),Y$5*$T36/$T$4*$U$1)</f>
        <v>0</v>
      </c>
      <c r="Z36" s="146">
        <f>IF($E36&lt;&gt;"",0,SUM(U36:Y36))</f>
        <v>0</v>
      </c>
      <c r="AA36" s="149">
        <f>+ROUNDUP(Z36/AA$4,0)</f>
        <v>0</v>
      </c>
      <c r="AB36" s="120">
        <f>+IF(Z36*AA36=0,0,(ROUNDUP(Z36/AA36,3)))</f>
        <v>0</v>
      </c>
      <c r="AC36" s="147">
        <f>+IF($D36&lt;&gt;"",AC$6*$P36/$T$4*VLOOKUP($M36,CÁRNICOS!$CD$13:$CJ$48,3,FALSE),AC$5*$P36/$T$4*$AC$1)</f>
        <v>0</v>
      </c>
      <c r="AD36" s="147">
        <f>+IF($D36&lt;&gt;"",AD$6*$Q36/$T$4*VLOOKUP($M36,CÁRNICOS!$CD$13:$CJ$48,3,FALSE),AD$5*$Q36/$T$4*$AC$1)</f>
        <v>0</v>
      </c>
      <c r="AE36" s="2">
        <f>+IF($D36&lt;&gt;"",AE$6*$R36/$T$4*VLOOKUP($M36,CÁRNICOS!$CD$13:$CJ$48,3,FALSE),AE$5*$R36/$T$4*$AC$1)</f>
        <v>0</v>
      </c>
      <c r="AF36" s="2">
        <f>+IF($D36&lt;&gt;"",AF$6*$S36/$T$4*VLOOKUP($M36,CÁRNICOS!$CD$13:$CJ$48,3,FALSE),AF$5*$S36/$T$4*$AC$1)</f>
        <v>0</v>
      </c>
      <c r="AG36" s="2">
        <f>+IF($D36&lt;&gt;"",AG$6*$T36/$T$4*VLOOKUP($M36,CÁRNICOS!$CD$13:$CJ$48,3,FALSE),AG$5*$T36/$T$4*$AC$1)</f>
        <v>0</v>
      </c>
      <c r="AH36" s="120">
        <f>IF($F36&lt;&gt;"",0,SUM(AC36:AG36))</f>
        <v>0</v>
      </c>
      <c r="AI36" s="149">
        <f>+ROUNDUP(AH36/AI$4,0)</f>
        <v>0</v>
      </c>
      <c r="AJ36" s="120">
        <f>+IF(AH36*AI36=0,0,(ROUNDUP(AH36/AI36,3)))</f>
        <v>0</v>
      </c>
      <c r="AK36" s="2">
        <f>+IF($D36&lt;&gt;"",AK$6*$P36/$T$4*VLOOKUP($M36,CÁRNICOS!$CD$13:$CJ$48,4,FALSE),AK$5*$P36/$T$4*$AK$1)</f>
        <v>0</v>
      </c>
      <c r="AL36" s="2">
        <f>+IF($D36&lt;&gt;"",AL$6*$Q36/$T$4*VLOOKUP($M36,CÁRNICOS!$CD$13:$CJ$48,4,FALSE),AL$5*$Q36/$T$4*$AK$1)</f>
        <v>0</v>
      </c>
      <c r="AM36" s="2">
        <f>+IF($D36&lt;&gt;"",AM$6*$R36/$T$4*VLOOKUP($M36,CÁRNICOS!$CD$13:$CJ$48,4,FALSE),AM$5*$R36/$T$4*$AK$1)</f>
        <v>0</v>
      </c>
      <c r="AN36" s="2">
        <f>+IF($D36&lt;&gt;"",AN$6*$S36/$T$4*VLOOKUP($M36,CÁRNICOS!$CD$13:$CJ$48,4,FALSE),AN$5*$S36/$T$4*$AK$1)</f>
        <v>0</v>
      </c>
      <c r="AO36" s="2">
        <f>+IF($D36&lt;&gt;"",AO$6*$T36/$T$4*VLOOKUP($M36,CÁRNICOS!$CD$13:$CJ$48,4,FALSE),AO$5*$T36/$T$4*$AK$1)</f>
        <v>0</v>
      </c>
      <c r="AP36" s="120">
        <f>IF($G36&lt;&gt;"",0,SUM(AK36:AO36))</f>
        <v>0</v>
      </c>
      <c r="AQ36" s="149">
        <f>+ROUNDUP(AP36/AQ$4,0)</f>
        <v>0</v>
      </c>
      <c r="AR36" s="120">
        <f>+IF(AP36*AQ36=0,0,(ROUNDUP(AP36/AQ36,3)))</f>
        <v>0</v>
      </c>
      <c r="AS36" s="2">
        <f>+IF($D36&lt;&gt;"",AS$6*$P36/$T$4*VLOOKUP($M36,CÁRNICOS!$CD$13:$CJ$48,5,FALSE),AS$5*$P36/$T$4*$AS$1)</f>
        <v>0</v>
      </c>
      <c r="AT36" s="2">
        <f>+IF($D36&lt;&gt;"",AT$6*$Q36/$T$4*VLOOKUP($M36,CÁRNICOS!$CD$13:$CJ$48,5,FALSE),AT$5*$Q36/$T$4*$AS$1)</f>
        <v>2.754</v>
      </c>
      <c r="AU36" s="2">
        <f>+IF($D36&lt;&gt;"",AU$6*$R36/$T$4*VLOOKUP($M36,CÁRNICOS!$CD$13:$CJ$48,5,FALSE),AU$5*$R36/$T$4*$AS$1)</f>
        <v>0.65</v>
      </c>
      <c r="AV36" s="2">
        <f>+IF($D36&lt;&gt;"",AV$6*$S36/$T$4*VLOOKUP($M36,CÁRNICOS!$CD$13:$CJ$48,5,FALSE),AV$5*$S36/$T$4*$AS$1)</f>
        <v>0</v>
      </c>
      <c r="AW36" s="2">
        <f>+IF($D36&lt;&gt;"",AW$6*$T36/$T$4*VLOOKUP($M36,CÁRNICOS!$CD$13:$CJ$48,5,FALSE),AW$5*$T36/$T$4*$AS$1)</f>
        <v>0</v>
      </c>
      <c r="AX36" s="120">
        <f>IF($H36&lt;&gt;"",0,SUM(AS36:AW36))</f>
        <v>3.4039999999999999</v>
      </c>
      <c r="AY36" s="149">
        <f>+ROUNDUP(AX36/AY$4,0)</f>
        <v>1</v>
      </c>
      <c r="AZ36" s="120">
        <f>+IF(AX36*AY36=0,0,(ROUNDUP(AX36/AY36,3)))</f>
        <v>3.4039999999999999</v>
      </c>
      <c r="BA36" s="2">
        <f>+IF($D36&lt;&gt;"",BA$6*$P36/$T$4*VLOOKUP($M36,CÁRNICOS!$CD$13:$CJ$48,6,FALSE),BA$5*$P36/$T$4*$BA$1)</f>
        <v>0</v>
      </c>
      <c r="BB36" s="2">
        <f>+IF($D36&lt;&gt;"",BB$6*$Q36/$T$4*VLOOKUP($M36,CÁRNICOS!$CD$13:$CJ$48,6,FALSE),BB$5*$Q36/$T$4*$BA$1)</f>
        <v>0</v>
      </c>
      <c r="BC36" s="2">
        <f>+IF($D36&lt;&gt;"",BC$6*$R36/$T$4*VLOOKUP($M36,CÁRNICOS!$CD$13:$CJ$48,6,FALSE),BC$5*$R36/$T$4*$BA$1)</f>
        <v>0</v>
      </c>
      <c r="BD36" s="2">
        <f>+IF($D36&lt;&gt;"",BD$6*$S36/$T$4*VLOOKUP($M36,CÁRNICOS!$CD$13:$CJ$48,6,FALSE),BD$5*$S36/$T$4*$BA$1)</f>
        <v>0</v>
      </c>
      <c r="BE36" s="2">
        <f>+IF($D36&lt;&gt;"",BE$6*$T36/$T$4*VLOOKUP($M36,CÁRNICOS!$CD$13:$CJ$48,6,FALSE),BE$5*$T36/$T$4*$BA$1)</f>
        <v>0</v>
      </c>
      <c r="BF36" s="120">
        <f t="shared" si="2"/>
        <v>0</v>
      </c>
      <c r="BG36" s="149">
        <f t="shared" si="3"/>
        <v>0</v>
      </c>
      <c r="BH36" s="120">
        <f t="shared" si="4"/>
        <v>0</v>
      </c>
      <c r="BI36" s="2">
        <f>+IF($D36&lt;&gt;"",BI$6*$P36/$T$4*VLOOKUP($M36,CÁRNICOS!$CD$13:$CJ$48,7,FALSE),BI$5*$P36/$T$4*$BI$1)</f>
        <v>0</v>
      </c>
      <c r="BJ36" s="2">
        <f>+IF($D36&lt;&gt;"",BJ$6*$Q36/$T$4*VLOOKUP($M36,CÁRNICOS!$CD$13:$CJ$48,7,FALSE),BJ$5*$Q36/$T$4*$BI$1)</f>
        <v>0</v>
      </c>
      <c r="BK36" s="2">
        <f>+IF($D36&lt;&gt;"",BK$6*$R36/$T$4*VLOOKUP($M36,CÁRNICOS!$CD$13:$CJ$48,7,FALSE),BK$5*$R36/$T$4*$BI$1)</f>
        <v>0</v>
      </c>
      <c r="BL36" s="2">
        <f>+IF($D36&lt;&gt;"",BL$6*$S36/$T$4*VLOOKUP($M36,CÁRNICOS!$CD$13:$CJ$48,7,FALSE),BL$5*$S36/$T$4*$BI$1)</f>
        <v>0</v>
      </c>
      <c r="BM36" s="2">
        <f>+IF($D36&lt;&gt;"",BM$6*$T36/$T$4*VLOOKUP($M36,CÁRNICOS!$CD$13:$CJ$48,7,FALSE),BM$5*$T36/$T$4*$BI$1)</f>
        <v>0</v>
      </c>
      <c r="BN36" s="120">
        <f t="shared" si="5"/>
        <v>0</v>
      </c>
      <c r="BO36" s="149">
        <f t="shared" si="16"/>
        <v>0</v>
      </c>
      <c r="BP36" s="120">
        <f t="shared" si="17"/>
        <v>0</v>
      </c>
      <c r="BR36" s="74">
        <f t="shared" si="6"/>
        <v>1</v>
      </c>
      <c r="BS36" s="74" t="str">
        <f t="shared" si="7"/>
        <v>MARMATO</v>
      </c>
      <c r="BT36" s="74" t="str">
        <f t="shared" si="8"/>
        <v>INSTITUCION EDUCATIVA MARMATO</v>
      </c>
      <c r="BU36" s="74" t="str">
        <f t="shared" si="9"/>
        <v>ESCUELA MAXIMILIANO GRILLO</v>
      </c>
      <c r="BV36" s="74">
        <f t="shared" si="10"/>
        <v>0</v>
      </c>
      <c r="BW36" s="74">
        <f t="shared" si="11"/>
        <v>0</v>
      </c>
      <c r="BX36" s="74">
        <f t="shared" si="12"/>
        <v>0</v>
      </c>
      <c r="BY36" s="74">
        <f t="shared" si="13"/>
        <v>3.4039999999999999</v>
      </c>
      <c r="BZ36" s="74">
        <f t="shared" si="14"/>
        <v>0</v>
      </c>
      <c r="CA36" s="74">
        <f t="shared" si="15"/>
        <v>0</v>
      </c>
      <c r="CD36" s="135" t="str">
        <f>+CONSOLIDADO!C34</f>
        <v>BELALCÁZAR</v>
      </c>
      <c r="CE36" s="136">
        <f t="shared" si="31"/>
        <v>0</v>
      </c>
      <c r="CF36" s="136">
        <f t="shared" si="31"/>
        <v>0</v>
      </c>
      <c r="CG36" s="136">
        <f t="shared" si="31"/>
        <v>0</v>
      </c>
      <c r="CH36" s="136">
        <f t="shared" si="31"/>
        <v>1</v>
      </c>
      <c r="CI36" s="136">
        <f t="shared" si="31"/>
        <v>0</v>
      </c>
      <c r="CJ36" s="136">
        <f t="shared" si="31"/>
        <v>0</v>
      </c>
    </row>
    <row r="37" spans="2:88" ht="29.95" customHeight="1" x14ac:dyDescent="0.3">
      <c r="B37" s="46">
        <f>+COUNTIF($M$8:M37,M37)</f>
        <v>3</v>
      </c>
      <c r="C37" s="14">
        <f>SUM(P37:T37)</f>
        <v>45</v>
      </c>
      <c r="D37" s="22" t="s">
        <v>73</v>
      </c>
      <c r="E37" s="124"/>
      <c r="F37" s="60"/>
      <c r="G37" s="60"/>
      <c r="H37" s="60"/>
      <c r="I37" s="60"/>
      <c r="J37" s="60"/>
      <c r="K37" s="59"/>
      <c r="L37" s="122" t="s">
        <v>248</v>
      </c>
      <c r="M37" s="162" t="s">
        <v>66</v>
      </c>
      <c r="N37" s="162" t="s">
        <v>249</v>
      </c>
      <c r="O37" s="163" t="s">
        <v>199</v>
      </c>
      <c r="P37" s="74">
        <v>18</v>
      </c>
      <c r="Q37" s="74">
        <v>24</v>
      </c>
      <c r="R37" s="139">
        <v>3</v>
      </c>
      <c r="S37" s="74">
        <v>0</v>
      </c>
      <c r="T37" s="74">
        <v>0</v>
      </c>
      <c r="U37" s="2">
        <f>+IF($D37&lt;&gt;"",U$6*$P37/$T$4*VLOOKUP($M37,CÁRNICOS!$CD$13:$CJ$48,2,FALSE),U$5*$P37/$T$4*$U$1)</f>
        <v>0</v>
      </c>
      <c r="V37" s="2">
        <f>+IF($D37&lt;&gt;"",V$6*$Q37/$T$4*VLOOKUP($M37,CÁRNICOS!$CD$13:$CJ$48,2,FALSE),V$5*$Q37/$T$4*$U$1)</f>
        <v>0</v>
      </c>
      <c r="W37" s="2">
        <f>+IF($D37&lt;&gt;"",W$6*$R37/$T$4*VLOOKUP($M37,CÁRNICOS!$CD$13:$CJ$48,2,FALSE),W$5*$R37/$T$4*$U$1)</f>
        <v>0</v>
      </c>
      <c r="X37" s="2">
        <f>+IF($D37&lt;&gt;"",X$6*$S37/$T$4*VLOOKUP($M37,CÁRNICOS!$CD$13:$CJ$48,2,FALSE),X$5*$S37/$T$4*$U$1)</f>
        <v>0</v>
      </c>
      <c r="Y37" s="2">
        <f>+IF($D37&lt;&gt;"",Y$6*$T37/$T$4*VLOOKUP($M37,CÁRNICOS!$CD$13:$CJ$48,2,FALSE),Y$5*$T37/$T$4*$U$1)</f>
        <v>0</v>
      </c>
      <c r="Z37" s="146">
        <f>IF($E37&lt;&gt;"",0,SUM(U37:Y37))</f>
        <v>0</v>
      </c>
      <c r="AA37" s="149">
        <f>+ROUNDUP(Z37/AA$4,0)</f>
        <v>0</v>
      </c>
      <c r="AB37" s="120">
        <f>+IF(Z37*AA37=0,0,(ROUNDUP(Z37/AA37,3)))</f>
        <v>0</v>
      </c>
      <c r="AC37" s="147">
        <f>+IF($D37&lt;&gt;"",AC$6*$P37/$T$4*VLOOKUP($M37,CÁRNICOS!$CD$13:$CJ$48,3,FALSE),AC$5*$P37/$T$4*$AC$1)</f>
        <v>0</v>
      </c>
      <c r="AD37" s="147">
        <f>+IF($D37&lt;&gt;"",AD$6*$Q37/$T$4*VLOOKUP($M37,CÁRNICOS!$CD$13:$CJ$48,3,FALSE),AD$5*$Q37/$T$4*$AC$1)</f>
        <v>0</v>
      </c>
      <c r="AE37" s="2">
        <f>+IF($D37&lt;&gt;"",AE$6*$R37/$T$4*VLOOKUP($M37,CÁRNICOS!$CD$13:$CJ$48,3,FALSE),AE$5*$R37/$T$4*$AC$1)</f>
        <v>0</v>
      </c>
      <c r="AF37" s="2">
        <f>+IF($D37&lt;&gt;"",AF$6*$S37/$T$4*VLOOKUP($M37,CÁRNICOS!$CD$13:$CJ$48,3,FALSE),AF$5*$S37/$T$4*$AC$1)</f>
        <v>0</v>
      </c>
      <c r="AG37" s="2">
        <f>+IF($D37&lt;&gt;"",AG$6*$T37/$T$4*VLOOKUP($M37,CÁRNICOS!$CD$13:$CJ$48,3,FALSE),AG$5*$T37/$T$4*$AC$1)</f>
        <v>0</v>
      </c>
      <c r="AH37" s="120">
        <f>IF($F37&lt;&gt;"",0,SUM(AC37:AG37))</f>
        <v>0</v>
      </c>
      <c r="AI37" s="149">
        <f>+ROUNDUP(AH37/AI$4,0)</f>
        <v>0</v>
      </c>
      <c r="AJ37" s="120">
        <f>+IF(AH37*AI37=0,0,(ROUNDUP(AH37/AI37,3)))</f>
        <v>0</v>
      </c>
      <c r="AK37" s="2">
        <f>+IF($D37&lt;&gt;"",AK$6*$P37/$T$4*VLOOKUP($M37,CÁRNICOS!$CD$13:$CJ$48,4,FALSE),AK$5*$P37/$T$4*$AK$1)</f>
        <v>0</v>
      </c>
      <c r="AL37" s="2">
        <f>+IF($D37&lt;&gt;"",AL$6*$Q37/$T$4*VLOOKUP($M37,CÁRNICOS!$CD$13:$CJ$48,4,FALSE),AL$5*$Q37/$T$4*$AK$1)</f>
        <v>0</v>
      </c>
      <c r="AM37" s="2">
        <f>+IF($D37&lt;&gt;"",AM$6*$R37/$T$4*VLOOKUP($M37,CÁRNICOS!$CD$13:$CJ$48,4,FALSE),AM$5*$R37/$T$4*$AK$1)</f>
        <v>0</v>
      </c>
      <c r="AN37" s="2">
        <f>+IF($D37&lt;&gt;"",AN$6*$S37/$T$4*VLOOKUP($M37,CÁRNICOS!$CD$13:$CJ$48,4,FALSE),AN$5*$S37/$T$4*$AK$1)</f>
        <v>0</v>
      </c>
      <c r="AO37" s="2">
        <f>+IF($D37&lt;&gt;"",AO$6*$T37/$T$4*VLOOKUP($M37,CÁRNICOS!$CD$13:$CJ$48,4,FALSE),AO$5*$T37/$T$4*$AK$1)</f>
        <v>0</v>
      </c>
      <c r="AP37" s="120">
        <f>IF($G37&lt;&gt;"",0,SUM(AK37:AO37))</f>
        <v>0</v>
      </c>
      <c r="AQ37" s="149">
        <f>+ROUNDUP(AP37/AQ$4,0)</f>
        <v>0</v>
      </c>
      <c r="AR37" s="120">
        <f>+IF(AP37*AQ37=0,0,(ROUNDUP(AP37/AQ37,3)))</f>
        <v>0</v>
      </c>
      <c r="AS37" s="2">
        <f>+IF($D37&lt;&gt;"",AS$6*$P37/$T$4*VLOOKUP($M37,CÁRNICOS!$CD$13:$CJ$48,5,FALSE),AS$5*$P37/$T$4*$AS$1)</f>
        <v>0.97199999999999998</v>
      </c>
      <c r="AT37" s="2">
        <f>+IF($D37&lt;&gt;"",AT$6*$Q37/$T$4*VLOOKUP($M37,CÁRNICOS!$CD$13:$CJ$48,5,FALSE),AT$5*$Q37/$T$4*$AS$1)</f>
        <v>1.296</v>
      </c>
      <c r="AU37" s="2">
        <f>+IF($D37&lt;&gt;"",AU$6*$R37/$T$4*VLOOKUP($M37,CÁRNICOS!$CD$13:$CJ$48,5,FALSE),AU$5*$R37/$T$4*$AS$1)</f>
        <v>0.19500000000000001</v>
      </c>
      <c r="AV37" s="2">
        <f>+IF($D37&lt;&gt;"",AV$6*$S37/$T$4*VLOOKUP($M37,CÁRNICOS!$CD$13:$CJ$48,5,FALSE),AV$5*$S37/$T$4*$AS$1)</f>
        <v>0</v>
      </c>
      <c r="AW37" s="2">
        <f>+IF($D37&lt;&gt;"",AW$6*$T37/$T$4*VLOOKUP($M37,CÁRNICOS!$CD$13:$CJ$48,5,FALSE),AW$5*$T37/$T$4*$AS$1)</f>
        <v>0</v>
      </c>
      <c r="AX37" s="120">
        <f>IF($H37&lt;&gt;"",0,SUM(AS37:AW37))</f>
        <v>2.4629999999999996</v>
      </c>
      <c r="AY37" s="149">
        <f>+ROUNDUP(AX37/AY$4,0)</f>
        <v>1</v>
      </c>
      <c r="AZ37" s="120">
        <f>+IF(AX37*AY37=0,0,(ROUNDUP(AX37/AY37,3)))</f>
        <v>2.4630000000000001</v>
      </c>
      <c r="BA37" s="2">
        <f>+IF($D37&lt;&gt;"",BA$6*$P37/$T$4*VLOOKUP($M37,CÁRNICOS!$CD$13:$CJ$48,6,FALSE),BA$5*$P37/$T$4*$BA$1)</f>
        <v>0</v>
      </c>
      <c r="BB37" s="2">
        <f>+IF($D37&lt;&gt;"",BB$6*$Q37/$T$4*VLOOKUP($M37,CÁRNICOS!$CD$13:$CJ$48,6,FALSE),BB$5*$Q37/$T$4*$BA$1)</f>
        <v>0</v>
      </c>
      <c r="BC37" s="2">
        <f>+IF($D37&lt;&gt;"",BC$6*$R37/$T$4*VLOOKUP($M37,CÁRNICOS!$CD$13:$CJ$48,6,FALSE),BC$5*$R37/$T$4*$BA$1)</f>
        <v>0</v>
      </c>
      <c r="BD37" s="2">
        <f>+IF($D37&lt;&gt;"",BD$6*$S37/$T$4*VLOOKUP($M37,CÁRNICOS!$CD$13:$CJ$48,6,FALSE),BD$5*$S37/$T$4*$BA$1)</f>
        <v>0</v>
      </c>
      <c r="BE37" s="2">
        <f>+IF($D37&lt;&gt;"",BE$6*$T37/$T$4*VLOOKUP($M37,CÁRNICOS!$CD$13:$CJ$48,6,FALSE),BE$5*$T37/$T$4*$BA$1)</f>
        <v>0</v>
      </c>
      <c r="BF37" s="120">
        <f t="shared" si="2"/>
        <v>0</v>
      </c>
      <c r="BG37" s="149">
        <f t="shared" si="3"/>
        <v>0</v>
      </c>
      <c r="BH37" s="120">
        <f t="shared" si="4"/>
        <v>0</v>
      </c>
      <c r="BI37" s="2">
        <f>+IF($D37&lt;&gt;"",BI$6*$P37/$T$4*VLOOKUP($M37,CÁRNICOS!$CD$13:$CJ$48,7,FALSE),BI$5*$P37/$T$4*$BI$1)</f>
        <v>0</v>
      </c>
      <c r="BJ37" s="2">
        <f>+IF($D37&lt;&gt;"",BJ$6*$Q37/$T$4*VLOOKUP($M37,CÁRNICOS!$CD$13:$CJ$48,7,FALSE),BJ$5*$Q37/$T$4*$BI$1)</f>
        <v>0</v>
      </c>
      <c r="BK37" s="2">
        <f>+IF($D37&lt;&gt;"",BK$6*$R37/$T$4*VLOOKUP($M37,CÁRNICOS!$CD$13:$CJ$48,7,FALSE),BK$5*$R37/$T$4*$BI$1)</f>
        <v>0</v>
      </c>
      <c r="BL37" s="2">
        <f>+IF($D37&lt;&gt;"",BL$6*$S37/$T$4*VLOOKUP($M37,CÁRNICOS!$CD$13:$CJ$48,7,FALSE),BL$5*$S37/$T$4*$BI$1)</f>
        <v>0</v>
      </c>
      <c r="BM37" s="2">
        <f>+IF($D37&lt;&gt;"",BM$6*$T37/$T$4*VLOOKUP($M37,CÁRNICOS!$CD$13:$CJ$48,7,FALSE),BM$5*$T37/$T$4*$BI$1)</f>
        <v>0</v>
      </c>
      <c r="BN37" s="120">
        <f t="shared" si="5"/>
        <v>0</v>
      </c>
      <c r="BO37" s="149">
        <f t="shared" si="16"/>
        <v>0</v>
      </c>
      <c r="BP37" s="120">
        <f t="shared" si="17"/>
        <v>0</v>
      </c>
      <c r="BR37" s="74" t="str">
        <f t="shared" si="6"/>
        <v xml:space="preserve">  4 SUPIA</v>
      </c>
      <c r="BS37" s="74" t="str">
        <f t="shared" si="7"/>
        <v>MARMATO</v>
      </c>
      <c r="BT37" s="74" t="str">
        <f t="shared" si="8"/>
        <v>INSTITUCION EDUCATIVA GENERAL RAMON MARIN</v>
      </c>
      <c r="BU37" s="74" t="str">
        <f t="shared" si="9"/>
        <v>ESCUELA JOSE ANTONIO GALAN</v>
      </c>
      <c r="BV37" s="74">
        <f t="shared" si="10"/>
        <v>0</v>
      </c>
      <c r="BW37" s="74">
        <f t="shared" si="11"/>
        <v>0</v>
      </c>
      <c r="BX37" s="74">
        <f t="shared" si="12"/>
        <v>0</v>
      </c>
      <c r="BY37" s="74">
        <f t="shared" si="13"/>
        <v>2.4629999999999996</v>
      </c>
      <c r="BZ37" s="74">
        <f t="shared" si="14"/>
        <v>0</v>
      </c>
      <c r="CA37" s="74">
        <f t="shared" si="15"/>
        <v>0</v>
      </c>
      <c r="CD37" s="135" t="str">
        <f>+CONSOLIDADO!C35</f>
        <v>RISARALDA</v>
      </c>
      <c r="CE37" s="136">
        <f t="shared" si="31"/>
        <v>0</v>
      </c>
      <c r="CF37" s="136">
        <f t="shared" si="31"/>
        <v>0</v>
      </c>
      <c r="CG37" s="136">
        <f t="shared" si="31"/>
        <v>0</v>
      </c>
      <c r="CH37" s="136">
        <f t="shared" si="31"/>
        <v>1</v>
      </c>
      <c r="CI37" s="136">
        <f t="shared" si="31"/>
        <v>0</v>
      </c>
      <c r="CJ37" s="136">
        <f t="shared" si="31"/>
        <v>0</v>
      </c>
    </row>
    <row r="38" spans="2:88" ht="29.95" customHeight="1" x14ac:dyDescent="0.3">
      <c r="B38" s="46">
        <f>+COUNTIF($M$8:M38,M38)</f>
        <v>1</v>
      </c>
      <c r="C38" s="14">
        <f>SUM(P38:T38)</f>
        <v>71</v>
      </c>
      <c r="D38" s="22" t="s">
        <v>73</v>
      </c>
      <c r="E38" s="124"/>
      <c r="F38" s="60"/>
      <c r="G38" s="60"/>
      <c r="H38" s="60"/>
      <c r="I38" s="60"/>
      <c r="J38" s="60"/>
      <c r="K38" s="59"/>
      <c r="L38" s="122">
        <v>1</v>
      </c>
      <c r="M38" s="164" t="s">
        <v>20</v>
      </c>
      <c r="N38" s="164" t="s">
        <v>207</v>
      </c>
      <c r="O38" s="165" t="s">
        <v>228</v>
      </c>
      <c r="P38" s="166">
        <v>0</v>
      </c>
      <c r="Q38" s="166">
        <v>0</v>
      </c>
      <c r="R38" s="167">
        <v>0</v>
      </c>
      <c r="S38" s="74">
        <v>38</v>
      </c>
      <c r="T38" s="74">
        <v>33</v>
      </c>
      <c r="U38" s="2">
        <f>+IF($D38&lt;&gt;"",U$6*$P38/$T$4*VLOOKUP($M38,CÁRNICOS!$CD$13:$CJ$48,2,FALSE),U$5*$P38/$T$4*$U$1)</f>
        <v>0</v>
      </c>
      <c r="V38" s="2">
        <f>+IF($D38&lt;&gt;"",V$6*$Q38/$T$4*VLOOKUP($M38,CÁRNICOS!$CD$13:$CJ$48,2,FALSE),V$5*$Q38/$T$4*$U$1)</f>
        <v>0</v>
      </c>
      <c r="W38" s="2">
        <f>+IF($D38&lt;&gt;"",W$6*$R38/$T$4*VLOOKUP($M38,CÁRNICOS!$CD$13:$CJ$48,2,FALSE),W$5*$R38/$T$4*$U$1)</f>
        <v>0</v>
      </c>
      <c r="X38" s="2">
        <f>+IF($D38&lt;&gt;"",X$6*$S38/$T$4*VLOOKUP($M38,CÁRNICOS!$CD$13:$CJ$48,2,FALSE),X$5*$S38/$T$4*$U$1)</f>
        <v>0</v>
      </c>
      <c r="Y38" s="2">
        <f>+IF($D38&lt;&gt;"",Y$6*$T38/$T$4*VLOOKUP($M38,CÁRNICOS!$CD$13:$CJ$48,2,FALSE),Y$5*$T38/$T$4*$U$1)</f>
        <v>0</v>
      </c>
      <c r="Z38" s="146">
        <f>IF($E38&lt;&gt;"",0,SUM(U38:Y38))</f>
        <v>0</v>
      </c>
      <c r="AA38" s="149">
        <f>+ROUNDUP(Z38/AA$4,0)</f>
        <v>0</v>
      </c>
      <c r="AB38" s="120">
        <f>+IF(Z38*AA38=0,0,(ROUNDUP(Z38/AA38,3)))</f>
        <v>0</v>
      </c>
      <c r="AC38" s="147">
        <f>+IF($D38&lt;&gt;"",AC$6*$P38/$T$4*VLOOKUP($M38,CÁRNICOS!$CD$13:$CJ$48,3,FALSE),AC$5*$P38/$T$4*$AC$1)</f>
        <v>0</v>
      </c>
      <c r="AD38" s="147">
        <f>+IF($D38&lt;&gt;"",AD$6*$Q38/$T$4*VLOOKUP($M38,CÁRNICOS!$CD$13:$CJ$48,3,FALSE),AD$5*$Q38/$T$4*$AC$1)</f>
        <v>0</v>
      </c>
      <c r="AE38" s="2">
        <f>+IF($D38&lt;&gt;"",AE$6*$R38/$T$4*VLOOKUP($M38,CÁRNICOS!$CD$13:$CJ$48,3,FALSE),AE$5*$R38/$T$4*$AC$1)</f>
        <v>0</v>
      </c>
      <c r="AF38" s="2">
        <f>+IF($D38&lt;&gt;"",AF$6*$S38/$T$4*VLOOKUP($M38,CÁRNICOS!$CD$13:$CJ$48,3,FALSE),AF$5*$S38/$T$4*$AC$1)</f>
        <v>0</v>
      </c>
      <c r="AG38" s="2">
        <f>+IF($D38&lt;&gt;"",AG$6*$T38/$T$4*VLOOKUP($M38,CÁRNICOS!$CD$13:$CJ$48,3,FALSE),AG$5*$T38/$T$4*$AC$1)</f>
        <v>0</v>
      </c>
      <c r="AH38" s="120">
        <f>IF($F38&lt;&gt;"",0,SUM(AC38:AG38))</f>
        <v>0</v>
      </c>
      <c r="AI38" s="149">
        <f>+ROUNDUP(AH38/AI$4,0)</f>
        <v>0</v>
      </c>
      <c r="AJ38" s="120">
        <f>+IF(AH38*AI38=0,0,(ROUNDUP(AH38/AI38,3)))</f>
        <v>0</v>
      </c>
      <c r="AK38" s="2">
        <f>+IF($D38&lt;&gt;"",AK$6*$P38/$T$4*VLOOKUP($M38,CÁRNICOS!$CD$13:$CJ$48,4,FALSE),AK$5*$P38/$T$4*$AK$1)</f>
        <v>0</v>
      </c>
      <c r="AL38" s="2">
        <f>+IF($D38&lt;&gt;"",AL$6*$Q38/$T$4*VLOOKUP($M38,CÁRNICOS!$CD$13:$CJ$48,4,FALSE),AL$5*$Q38/$T$4*$AK$1)</f>
        <v>0</v>
      </c>
      <c r="AM38" s="2">
        <f>+IF($D38&lt;&gt;"",AM$6*$R38/$T$4*VLOOKUP($M38,CÁRNICOS!$CD$13:$CJ$48,4,FALSE),AM$5*$R38/$T$4*$AK$1)</f>
        <v>0</v>
      </c>
      <c r="AN38" s="2">
        <f>+IF($D38&lt;&gt;"",AN$6*$S38/$T$4*VLOOKUP($M38,CÁRNICOS!$CD$13:$CJ$48,4,FALSE),AN$5*$S38/$T$4*$AK$1)</f>
        <v>0</v>
      </c>
      <c r="AO38" s="2">
        <f>+IF($D38&lt;&gt;"",AO$6*$T38/$T$4*VLOOKUP($M38,CÁRNICOS!$CD$13:$CJ$48,4,FALSE),AO$5*$T38/$T$4*$AK$1)</f>
        <v>0</v>
      </c>
      <c r="AP38" s="120">
        <f>IF($G38&lt;&gt;"",0,SUM(AK38:AO38))</f>
        <v>0</v>
      </c>
      <c r="AQ38" s="149">
        <f>+ROUNDUP(AP38/AQ$4,0)</f>
        <v>0</v>
      </c>
      <c r="AR38" s="120">
        <f>+IF(AP38*AQ38=0,0,(ROUNDUP(AP38/AQ38,3)))</f>
        <v>0</v>
      </c>
      <c r="AS38" s="2">
        <f>+IF($D38&lt;&gt;"",AS$6*$P38/$T$4*VLOOKUP($M38,CÁRNICOS!$CD$13:$CJ$48,5,FALSE),AS$5*$P38/$T$4*$AS$1)</f>
        <v>0</v>
      </c>
      <c r="AT38" s="2">
        <f>+IF($D38&lt;&gt;"",AT$6*$Q38/$T$4*VLOOKUP($M38,CÁRNICOS!$CD$13:$CJ$48,5,FALSE),AT$5*$Q38/$T$4*$AS$1)</f>
        <v>0</v>
      </c>
      <c r="AU38" s="2">
        <f>+IF($D38&lt;&gt;"",AU$6*$R38/$T$4*VLOOKUP($M38,CÁRNICOS!$CD$13:$CJ$48,5,FALSE),AU$5*$R38/$T$4*$AS$1)</f>
        <v>0</v>
      </c>
      <c r="AV38" s="2">
        <f>+IF($D38&lt;&gt;"",AV$6*$S38/$T$4*VLOOKUP($M38,CÁRNICOS!$CD$13:$CJ$48,5,FALSE),AV$5*$S38/$T$4*$AS$1)</f>
        <v>3.04</v>
      </c>
      <c r="AW38" s="2">
        <f>+IF($D38&lt;&gt;"",AW$6*$T38/$T$4*VLOOKUP($M38,CÁRNICOS!$CD$13:$CJ$48,5,FALSE),AW$5*$T38/$T$4*$AS$1)</f>
        <v>3.3</v>
      </c>
      <c r="AX38" s="120">
        <f>IF($H38&lt;&gt;"",0,SUM(AS38:AW38))</f>
        <v>6.34</v>
      </c>
      <c r="AY38" s="149">
        <f>+ROUNDUP(AX38/AY$4,0)</f>
        <v>1</v>
      </c>
      <c r="AZ38" s="120">
        <f>+IF(AX38*AY38=0,0,(ROUNDUP(AX38/AY38,3)))</f>
        <v>6.34</v>
      </c>
      <c r="BA38" s="2">
        <f>+IF($D38&lt;&gt;"",BA$6*$P38/$T$4*VLOOKUP($M38,CÁRNICOS!$CD$13:$CJ$48,6,FALSE),BA$5*$P38/$T$4*$BA$1)</f>
        <v>0</v>
      </c>
      <c r="BB38" s="2">
        <f>+IF($D38&lt;&gt;"",BB$6*$Q38/$T$4*VLOOKUP($M38,CÁRNICOS!$CD$13:$CJ$48,6,FALSE),BB$5*$Q38/$T$4*$BA$1)</f>
        <v>0</v>
      </c>
      <c r="BC38" s="2">
        <f>+IF($D38&lt;&gt;"",BC$6*$R38/$T$4*VLOOKUP($M38,CÁRNICOS!$CD$13:$CJ$48,6,FALSE),BC$5*$R38/$T$4*$BA$1)</f>
        <v>0</v>
      </c>
      <c r="BD38" s="2">
        <f>+IF($D38&lt;&gt;"",BD$6*$S38/$T$4*VLOOKUP($M38,CÁRNICOS!$CD$13:$CJ$48,6,FALSE),BD$5*$S38/$T$4*$BA$1)</f>
        <v>0</v>
      </c>
      <c r="BE38" s="2">
        <f>+IF($D38&lt;&gt;"",BE$6*$T38/$T$4*VLOOKUP($M38,CÁRNICOS!$CD$13:$CJ$48,6,FALSE),BE$5*$T38/$T$4*$BA$1)</f>
        <v>0</v>
      </c>
      <c r="BF38" s="120">
        <f t="shared" si="2"/>
        <v>0</v>
      </c>
      <c r="BG38" s="149">
        <f t="shared" si="3"/>
        <v>0</v>
      </c>
      <c r="BH38" s="120">
        <f t="shared" si="4"/>
        <v>0</v>
      </c>
      <c r="BI38" s="2">
        <f>+IF($D38&lt;&gt;"",BI$6*$P38/$T$4*VLOOKUP($M38,CÁRNICOS!$CD$13:$CJ$48,7,FALSE),BI$5*$P38/$T$4*$BI$1)</f>
        <v>0</v>
      </c>
      <c r="BJ38" s="2">
        <f>+IF($D38&lt;&gt;"",BJ$6*$Q38/$T$4*VLOOKUP($M38,CÁRNICOS!$CD$13:$CJ$48,7,FALSE),BJ$5*$Q38/$T$4*$BI$1)</f>
        <v>0</v>
      </c>
      <c r="BK38" s="2">
        <f>+IF($D38&lt;&gt;"",BK$6*$R38/$T$4*VLOOKUP($M38,CÁRNICOS!$CD$13:$CJ$48,7,FALSE),BK$5*$R38/$T$4*$BI$1)</f>
        <v>0</v>
      </c>
      <c r="BL38" s="2">
        <f>+IF($D38&lt;&gt;"",BL$6*$S38/$T$4*VLOOKUP($M38,CÁRNICOS!$CD$13:$CJ$48,7,FALSE),BL$5*$S38/$T$4*$BI$1)</f>
        <v>0</v>
      </c>
      <c r="BM38" s="2">
        <f>+IF($D38&lt;&gt;"",BM$6*$T38/$T$4*VLOOKUP($M38,CÁRNICOS!$CD$13:$CJ$48,7,FALSE),BM$5*$T38/$T$4*$BI$1)</f>
        <v>0</v>
      </c>
      <c r="BN38" s="120">
        <f t="shared" si="5"/>
        <v>0</v>
      </c>
      <c r="BO38" s="149">
        <f t="shared" si="16"/>
        <v>0</v>
      </c>
      <c r="BP38" s="120">
        <f t="shared" si="17"/>
        <v>0</v>
      </c>
      <c r="BR38" s="74">
        <f t="shared" si="6"/>
        <v>1</v>
      </c>
      <c r="BS38" s="74" t="str">
        <f t="shared" si="7"/>
        <v>MARQUETALIA</v>
      </c>
      <c r="BT38" s="74" t="str">
        <f t="shared" si="8"/>
        <v>INSTITUCION EDUCATIVA ESCUELA NORMAL SUPERIOR NUESTRA SENORA DE LA CANDELARIA</v>
      </c>
      <c r="BU38" s="74" t="str">
        <f t="shared" si="9"/>
        <v>INSTITUCION EDUCATIVA ESCUELA NORMAL SUPERIOR NUESTRA SENORA DE LA CANDELARIA - SEDE PRINCIPAL</v>
      </c>
      <c r="BV38" s="74">
        <f t="shared" si="10"/>
        <v>0</v>
      </c>
      <c r="BW38" s="74">
        <f t="shared" si="11"/>
        <v>0</v>
      </c>
      <c r="BX38" s="74">
        <f t="shared" si="12"/>
        <v>0</v>
      </c>
      <c r="BY38" s="74">
        <f t="shared" si="13"/>
        <v>6.34</v>
      </c>
      <c r="BZ38" s="74">
        <f t="shared" si="14"/>
        <v>0</v>
      </c>
      <c r="CA38" s="74">
        <f t="shared" si="15"/>
        <v>0</v>
      </c>
      <c r="CD38" s="135" t="str">
        <f>+CONSOLIDADO!C36</f>
        <v>SAN JOSÉ</v>
      </c>
      <c r="CE38" s="136">
        <f t="shared" si="31"/>
        <v>0</v>
      </c>
      <c r="CF38" s="136">
        <f t="shared" si="31"/>
        <v>0</v>
      </c>
      <c r="CG38" s="136">
        <f t="shared" si="31"/>
        <v>0</v>
      </c>
      <c r="CH38" s="136">
        <f t="shared" si="31"/>
        <v>1</v>
      </c>
      <c r="CI38" s="136">
        <f t="shared" si="31"/>
        <v>0</v>
      </c>
      <c r="CJ38" s="136">
        <f t="shared" si="31"/>
        <v>0</v>
      </c>
    </row>
    <row r="39" spans="2:88" ht="29.95" customHeight="1" x14ac:dyDescent="0.3">
      <c r="B39" s="46">
        <f>+COUNTIF($M$8:M39,M39)</f>
        <v>1</v>
      </c>
      <c r="C39" s="14">
        <f>SUM(P39:T39)</f>
        <v>30</v>
      </c>
      <c r="D39" s="22" t="s">
        <v>73</v>
      </c>
      <c r="E39" s="124"/>
      <c r="F39" s="60"/>
      <c r="G39" s="60"/>
      <c r="H39" s="60"/>
      <c r="I39" s="60"/>
      <c r="J39" s="60"/>
      <c r="K39" s="59"/>
      <c r="L39" s="122">
        <v>3</v>
      </c>
      <c r="M39" s="164" t="s">
        <v>18</v>
      </c>
      <c r="N39" s="164" t="s">
        <v>277</v>
      </c>
      <c r="O39" s="165" t="s">
        <v>278</v>
      </c>
      <c r="P39" s="166">
        <v>0</v>
      </c>
      <c r="Q39" s="166">
        <v>0</v>
      </c>
      <c r="R39" s="167">
        <v>0</v>
      </c>
      <c r="S39" s="74">
        <v>30</v>
      </c>
      <c r="T39" s="74">
        <v>0</v>
      </c>
      <c r="U39" s="2">
        <f>+IF($D39&lt;&gt;"",U$6*$P39/$T$4*VLOOKUP($M39,CÁRNICOS!$CD$13:$CJ$48,2,FALSE),U$5*$P39/$T$4*$U$1)</f>
        <v>0</v>
      </c>
      <c r="V39" s="2">
        <f>+IF($D39&lt;&gt;"",V$6*$Q39/$T$4*VLOOKUP($M39,CÁRNICOS!$CD$13:$CJ$48,2,FALSE),V$5*$Q39/$T$4*$U$1)</f>
        <v>0</v>
      </c>
      <c r="W39" s="2">
        <f>+IF($D39&lt;&gt;"",W$6*$R39/$T$4*VLOOKUP($M39,CÁRNICOS!$CD$13:$CJ$48,2,FALSE),W$5*$R39/$T$4*$U$1)</f>
        <v>0</v>
      </c>
      <c r="X39" s="2">
        <f>+IF($D39&lt;&gt;"",X$6*$S39/$T$4*VLOOKUP($M39,CÁRNICOS!$CD$13:$CJ$48,2,FALSE),X$5*$S39/$T$4*$U$1)</f>
        <v>0</v>
      </c>
      <c r="Y39" s="2">
        <f>+IF($D39&lt;&gt;"",Y$6*$T39/$T$4*VLOOKUP($M39,CÁRNICOS!$CD$13:$CJ$48,2,FALSE),Y$5*$T39/$T$4*$U$1)</f>
        <v>0</v>
      </c>
      <c r="Z39" s="146">
        <f>IF($E39&lt;&gt;"",0,SUM(U39:Y39))</f>
        <v>0</v>
      </c>
      <c r="AA39" s="149">
        <f>+ROUNDUP(Z39/AA$4,0)</f>
        <v>0</v>
      </c>
      <c r="AB39" s="120">
        <f>+IF(Z39*AA39=0,0,(ROUNDUP(Z39/AA39,3)))</f>
        <v>0</v>
      </c>
      <c r="AC39" s="147">
        <f>+IF($D39&lt;&gt;"",AC$6*$P39/$T$4*VLOOKUP($M39,CÁRNICOS!$CD$13:$CJ$48,3,FALSE),AC$5*$P39/$T$4*$AC$1)</f>
        <v>0</v>
      </c>
      <c r="AD39" s="147">
        <f>+IF($D39&lt;&gt;"",AD$6*$Q39/$T$4*VLOOKUP($M39,CÁRNICOS!$CD$13:$CJ$48,3,FALSE),AD$5*$Q39/$T$4*$AC$1)</f>
        <v>0</v>
      </c>
      <c r="AE39" s="2">
        <f>+IF($D39&lt;&gt;"",AE$6*$R39/$T$4*VLOOKUP($M39,CÁRNICOS!$CD$13:$CJ$48,3,FALSE),AE$5*$R39/$T$4*$AC$1)</f>
        <v>0</v>
      </c>
      <c r="AF39" s="2">
        <f>+IF($D39&lt;&gt;"",AF$6*$S39/$T$4*VLOOKUP($M39,CÁRNICOS!$CD$13:$CJ$48,3,FALSE),AF$5*$S39/$T$4*$AC$1)</f>
        <v>0</v>
      </c>
      <c r="AG39" s="2">
        <f>+IF($D39&lt;&gt;"",AG$6*$T39/$T$4*VLOOKUP($M39,CÁRNICOS!$CD$13:$CJ$48,3,FALSE),AG$5*$T39/$T$4*$AC$1)</f>
        <v>0</v>
      </c>
      <c r="AH39" s="120">
        <f>IF($F39&lt;&gt;"",0,SUM(AC39:AG39))</f>
        <v>0</v>
      </c>
      <c r="AI39" s="149">
        <f>+ROUNDUP(AH39/AI$4,0)</f>
        <v>0</v>
      </c>
      <c r="AJ39" s="120">
        <f>+IF(AH39*AI39=0,0,(ROUNDUP(AH39/AI39,3)))</f>
        <v>0</v>
      </c>
      <c r="AK39" s="2">
        <f>+IF($D39&lt;&gt;"",AK$6*$P39/$T$4*VLOOKUP($M39,CÁRNICOS!$CD$13:$CJ$48,4,FALSE),AK$5*$P39/$T$4*$AK$1)</f>
        <v>0</v>
      </c>
      <c r="AL39" s="2">
        <f>+IF($D39&lt;&gt;"",AL$6*$Q39/$T$4*VLOOKUP($M39,CÁRNICOS!$CD$13:$CJ$48,4,FALSE),AL$5*$Q39/$T$4*$AK$1)</f>
        <v>0</v>
      </c>
      <c r="AM39" s="2">
        <f>+IF($D39&lt;&gt;"",AM$6*$R39/$T$4*VLOOKUP($M39,CÁRNICOS!$CD$13:$CJ$48,4,FALSE),AM$5*$R39/$T$4*$AK$1)</f>
        <v>0</v>
      </c>
      <c r="AN39" s="2">
        <f>+IF($D39&lt;&gt;"",AN$6*$S39/$T$4*VLOOKUP($M39,CÁRNICOS!$CD$13:$CJ$48,4,FALSE),AN$5*$S39/$T$4*$AK$1)</f>
        <v>0</v>
      </c>
      <c r="AO39" s="2">
        <f>+IF($D39&lt;&gt;"",AO$6*$T39/$T$4*VLOOKUP($M39,CÁRNICOS!$CD$13:$CJ$48,4,FALSE),AO$5*$T39/$T$4*$AK$1)</f>
        <v>0</v>
      </c>
      <c r="AP39" s="120">
        <f>IF($G39&lt;&gt;"",0,SUM(AK39:AO39))</f>
        <v>0</v>
      </c>
      <c r="AQ39" s="149">
        <f>+ROUNDUP(AP39/AQ$4,0)</f>
        <v>0</v>
      </c>
      <c r="AR39" s="120">
        <f>+IF(AP39*AQ39=0,0,(ROUNDUP(AP39/AQ39,3)))</f>
        <v>0</v>
      </c>
      <c r="AS39" s="2">
        <f>+IF($D39&lt;&gt;"",AS$6*$P39/$T$4*VLOOKUP($M39,CÁRNICOS!$CD$13:$CJ$48,5,FALSE),AS$5*$P39/$T$4*$AS$1)</f>
        <v>0</v>
      </c>
      <c r="AT39" s="2">
        <f>+IF($D39&lt;&gt;"",AT$6*$Q39/$T$4*VLOOKUP($M39,CÁRNICOS!$CD$13:$CJ$48,5,FALSE),AT$5*$Q39/$T$4*$AS$1)</f>
        <v>0</v>
      </c>
      <c r="AU39" s="2">
        <f>+IF($D39&lt;&gt;"",AU$6*$R39/$T$4*VLOOKUP($M39,CÁRNICOS!$CD$13:$CJ$48,5,FALSE),AU$5*$R39/$T$4*$AS$1)</f>
        <v>0</v>
      </c>
      <c r="AV39" s="2">
        <f>+IF($D39&lt;&gt;"",AV$6*$S39/$T$4*VLOOKUP($M39,CÁRNICOS!$CD$13:$CJ$48,5,FALSE),AV$5*$S39/$T$4*$AS$1)</f>
        <v>2.4</v>
      </c>
      <c r="AW39" s="2">
        <f>+IF($D39&lt;&gt;"",AW$6*$T39/$T$4*VLOOKUP($M39,CÁRNICOS!$CD$13:$CJ$48,5,FALSE),AW$5*$T39/$T$4*$AS$1)</f>
        <v>0</v>
      </c>
      <c r="AX39" s="120">
        <f>IF($H39&lt;&gt;"",0,SUM(AS39:AW39))</f>
        <v>2.4</v>
      </c>
      <c r="AY39" s="149">
        <f>+ROUNDUP(AX39/AY$4,0)</f>
        <v>1</v>
      </c>
      <c r="AZ39" s="120">
        <f>+IF(AX39*AY39=0,0,(ROUNDUP(AX39/AY39,3)))</f>
        <v>2.4</v>
      </c>
      <c r="BA39" s="2">
        <f>+IF($D39&lt;&gt;"",BA$6*$P39/$T$4*VLOOKUP($M39,CÁRNICOS!$CD$13:$CJ$48,6,FALSE),BA$5*$P39/$T$4*$BA$1)</f>
        <v>0</v>
      </c>
      <c r="BB39" s="2">
        <f>+IF($D39&lt;&gt;"",BB$6*$Q39/$T$4*VLOOKUP($M39,CÁRNICOS!$CD$13:$CJ$48,6,FALSE),BB$5*$Q39/$T$4*$BA$1)</f>
        <v>0</v>
      </c>
      <c r="BC39" s="2">
        <f>+IF($D39&lt;&gt;"",BC$6*$R39/$T$4*VLOOKUP($M39,CÁRNICOS!$CD$13:$CJ$48,6,FALSE),BC$5*$R39/$T$4*$BA$1)</f>
        <v>0</v>
      </c>
      <c r="BD39" s="2">
        <f>+IF($D39&lt;&gt;"",BD$6*$S39/$T$4*VLOOKUP($M39,CÁRNICOS!$CD$13:$CJ$48,6,FALSE),BD$5*$S39/$T$4*$BA$1)</f>
        <v>0</v>
      </c>
      <c r="BE39" s="2">
        <f>+IF($D39&lt;&gt;"",BE$6*$T39/$T$4*VLOOKUP($M39,CÁRNICOS!$CD$13:$CJ$48,6,FALSE),BE$5*$T39/$T$4*$BA$1)</f>
        <v>0</v>
      </c>
      <c r="BF39" s="120">
        <f t="shared" si="2"/>
        <v>0</v>
      </c>
      <c r="BG39" s="149">
        <f t="shared" si="3"/>
        <v>0</v>
      </c>
      <c r="BH39" s="120">
        <f t="shared" si="4"/>
        <v>0</v>
      </c>
      <c r="BI39" s="2">
        <f>+IF($D39&lt;&gt;"",BI$6*$P39/$T$4*VLOOKUP($M39,CÁRNICOS!$CD$13:$CJ$48,7,FALSE),BI$5*$P39/$T$4*$BI$1)</f>
        <v>0</v>
      </c>
      <c r="BJ39" s="2">
        <f>+IF($D39&lt;&gt;"",BJ$6*$Q39/$T$4*VLOOKUP($M39,CÁRNICOS!$CD$13:$CJ$48,7,FALSE),BJ$5*$Q39/$T$4*$BI$1)</f>
        <v>0</v>
      </c>
      <c r="BK39" s="2">
        <f>+IF($D39&lt;&gt;"",BK$6*$R39/$T$4*VLOOKUP($M39,CÁRNICOS!$CD$13:$CJ$48,7,FALSE),BK$5*$R39/$T$4*$BI$1)</f>
        <v>0</v>
      </c>
      <c r="BL39" s="2">
        <f>+IF($D39&lt;&gt;"",BL$6*$S39/$T$4*VLOOKUP($M39,CÁRNICOS!$CD$13:$CJ$48,7,FALSE),BL$5*$S39/$T$4*$BI$1)</f>
        <v>0</v>
      </c>
      <c r="BM39" s="2">
        <f>+IF($D39&lt;&gt;"",BM$6*$T39/$T$4*VLOOKUP($M39,CÁRNICOS!$CD$13:$CJ$48,7,FALSE),BM$5*$T39/$T$4*$BI$1)</f>
        <v>0</v>
      </c>
      <c r="BN39" s="120">
        <f t="shared" si="5"/>
        <v>0</v>
      </c>
      <c r="BO39" s="149">
        <f t="shared" si="16"/>
        <v>0</v>
      </c>
      <c r="BP39" s="120">
        <f t="shared" si="17"/>
        <v>0</v>
      </c>
      <c r="BR39" s="74">
        <f t="shared" si="6"/>
        <v>3</v>
      </c>
      <c r="BS39" s="74" t="str">
        <f t="shared" si="7"/>
        <v>NEIRA</v>
      </c>
      <c r="BT39" s="74" t="str">
        <f t="shared" si="8"/>
        <v>INSTITUCION EDUCATIVA PUEBLO RICO</v>
      </c>
      <c r="BU39" s="74" t="str">
        <f t="shared" si="9"/>
        <v>INSTITUCION EDUCATIVA PUEBLO RICO - SEDE PRINCIPAL</v>
      </c>
      <c r="BV39" s="74">
        <f t="shared" si="10"/>
        <v>0</v>
      </c>
      <c r="BW39" s="74">
        <f t="shared" si="11"/>
        <v>0</v>
      </c>
      <c r="BX39" s="74">
        <f t="shared" si="12"/>
        <v>0</v>
      </c>
      <c r="BY39" s="74">
        <f t="shared" si="13"/>
        <v>2.4</v>
      </c>
      <c r="BZ39" s="74">
        <f t="shared" si="14"/>
        <v>0</v>
      </c>
      <c r="CA39" s="74">
        <f t="shared" si="15"/>
        <v>0</v>
      </c>
      <c r="CD39" s="135" t="str">
        <f>+CONSOLIDADO!C37</f>
        <v>VITERBO</v>
      </c>
      <c r="CE39" s="136">
        <f t="shared" si="31"/>
        <v>0</v>
      </c>
      <c r="CF39" s="136">
        <f t="shared" si="31"/>
        <v>0</v>
      </c>
      <c r="CG39" s="136">
        <f t="shared" si="31"/>
        <v>0</v>
      </c>
      <c r="CH39" s="136">
        <f t="shared" si="31"/>
        <v>1</v>
      </c>
      <c r="CI39" s="136">
        <f t="shared" si="31"/>
        <v>0</v>
      </c>
      <c r="CJ39" s="136">
        <f t="shared" si="31"/>
        <v>0</v>
      </c>
    </row>
    <row r="40" spans="2:88" ht="29.95" customHeight="1" x14ac:dyDescent="0.3">
      <c r="B40" s="46">
        <f>+COUNTIF($M$8:M40,M40)</f>
        <v>2</v>
      </c>
      <c r="C40" s="14">
        <f>SUM(P40:T40)</f>
        <v>35</v>
      </c>
      <c r="D40" s="22" t="s">
        <v>73</v>
      </c>
      <c r="E40" s="124"/>
      <c r="F40" s="60"/>
      <c r="G40" s="60"/>
      <c r="H40" s="60"/>
      <c r="I40" s="60"/>
      <c r="J40" s="60"/>
      <c r="K40" s="59"/>
      <c r="L40" s="122" t="s">
        <v>76</v>
      </c>
      <c r="M40" s="164" t="s">
        <v>18</v>
      </c>
      <c r="N40" s="164" t="s">
        <v>279</v>
      </c>
      <c r="O40" s="165" t="s">
        <v>280</v>
      </c>
      <c r="P40" s="166">
        <v>0</v>
      </c>
      <c r="Q40" s="166">
        <v>0</v>
      </c>
      <c r="R40" s="167">
        <v>35</v>
      </c>
      <c r="S40" s="74">
        <v>0</v>
      </c>
      <c r="T40" s="74">
        <v>0</v>
      </c>
      <c r="U40" s="2">
        <f>+IF($D40&lt;&gt;"",U$6*$P40/$T$4*VLOOKUP($M40,CÁRNICOS!$CD$13:$CJ$48,2,FALSE),U$5*$P40/$T$4*$U$1)</f>
        <v>0</v>
      </c>
      <c r="V40" s="2">
        <f>+IF($D40&lt;&gt;"",V$6*$Q40/$T$4*VLOOKUP($M40,CÁRNICOS!$CD$13:$CJ$48,2,FALSE),V$5*$Q40/$T$4*$U$1)</f>
        <v>0</v>
      </c>
      <c r="W40" s="2">
        <f>+IF($D40&lt;&gt;"",W$6*$R40/$T$4*VLOOKUP($M40,CÁRNICOS!$CD$13:$CJ$48,2,FALSE),W$5*$R40/$T$4*$U$1)</f>
        <v>0</v>
      </c>
      <c r="X40" s="2">
        <f>+IF($D40&lt;&gt;"",X$6*$S40/$T$4*VLOOKUP($M40,CÁRNICOS!$CD$13:$CJ$48,2,FALSE),X$5*$S40/$T$4*$U$1)</f>
        <v>0</v>
      </c>
      <c r="Y40" s="2">
        <f>+IF($D40&lt;&gt;"",Y$6*$T40/$T$4*VLOOKUP($M40,CÁRNICOS!$CD$13:$CJ$48,2,FALSE),Y$5*$T40/$T$4*$U$1)</f>
        <v>0</v>
      </c>
      <c r="Z40" s="146">
        <f>IF($E40&lt;&gt;"",0,SUM(U40:Y40))</f>
        <v>0</v>
      </c>
      <c r="AA40" s="149">
        <f>+ROUNDUP(Z40/AA$4,0)</f>
        <v>0</v>
      </c>
      <c r="AB40" s="120">
        <f>+IF(Z40*AA40=0,0,(ROUNDUP(Z40/AA40,3)))</f>
        <v>0</v>
      </c>
      <c r="AC40" s="147">
        <f>+IF($D40&lt;&gt;"",AC$6*$P40/$T$4*VLOOKUP($M40,CÁRNICOS!$CD$13:$CJ$48,3,FALSE),AC$5*$P40/$T$4*$AC$1)</f>
        <v>0</v>
      </c>
      <c r="AD40" s="147">
        <f>+IF($D40&lt;&gt;"",AD$6*$Q40/$T$4*VLOOKUP($M40,CÁRNICOS!$CD$13:$CJ$48,3,FALSE),AD$5*$Q40/$T$4*$AC$1)</f>
        <v>0</v>
      </c>
      <c r="AE40" s="2">
        <f>+IF($D40&lt;&gt;"",AE$6*$R40/$T$4*VLOOKUP($M40,CÁRNICOS!$CD$13:$CJ$48,3,FALSE),AE$5*$R40/$T$4*$AC$1)</f>
        <v>0</v>
      </c>
      <c r="AF40" s="2">
        <f>+IF($D40&lt;&gt;"",AF$6*$S40/$T$4*VLOOKUP($M40,CÁRNICOS!$CD$13:$CJ$48,3,FALSE),AF$5*$S40/$T$4*$AC$1)</f>
        <v>0</v>
      </c>
      <c r="AG40" s="2">
        <f>+IF($D40&lt;&gt;"",AG$6*$T40/$T$4*VLOOKUP($M40,CÁRNICOS!$CD$13:$CJ$48,3,FALSE),AG$5*$T40/$T$4*$AC$1)</f>
        <v>0</v>
      </c>
      <c r="AH40" s="120">
        <f>IF($F40&lt;&gt;"",0,SUM(AC40:AG40))</f>
        <v>0</v>
      </c>
      <c r="AI40" s="149">
        <f>+ROUNDUP(AH40/AI$4,0)</f>
        <v>0</v>
      </c>
      <c r="AJ40" s="120">
        <f>+IF(AH40*AI40=0,0,(ROUNDUP(AH40/AI40,3)))</f>
        <v>0</v>
      </c>
      <c r="AK40" s="2">
        <f>+IF($D40&lt;&gt;"",AK$6*$P40/$T$4*VLOOKUP($M40,CÁRNICOS!$CD$13:$CJ$48,4,FALSE),AK$5*$P40/$T$4*$AK$1)</f>
        <v>0</v>
      </c>
      <c r="AL40" s="2">
        <f>+IF($D40&lt;&gt;"",AL$6*$Q40/$T$4*VLOOKUP($M40,CÁRNICOS!$CD$13:$CJ$48,4,FALSE),AL$5*$Q40/$T$4*$AK$1)</f>
        <v>0</v>
      </c>
      <c r="AM40" s="2">
        <f>+IF($D40&lt;&gt;"",AM$6*$R40/$T$4*VLOOKUP($M40,CÁRNICOS!$CD$13:$CJ$48,4,FALSE),AM$5*$R40/$T$4*$AK$1)</f>
        <v>0</v>
      </c>
      <c r="AN40" s="2">
        <f>+IF($D40&lt;&gt;"",AN$6*$S40/$T$4*VLOOKUP($M40,CÁRNICOS!$CD$13:$CJ$48,4,FALSE),AN$5*$S40/$T$4*$AK$1)</f>
        <v>0</v>
      </c>
      <c r="AO40" s="2">
        <f>+IF($D40&lt;&gt;"",AO$6*$T40/$T$4*VLOOKUP($M40,CÁRNICOS!$CD$13:$CJ$48,4,FALSE),AO$5*$T40/$T$4*$AK$1)</f>
        <v>0</v>
      </c>
      <c r="AP40" s="120">
        <f>IF($G40&lt;&gt;"",0,SUM(AK40:AO40))</f>
        <v>0</v>
      </c>
      <c r="AQ40" s="149">
        <f>+ROUNDUP(AP40/AQ$4,0)</f>
        <v>0</v>
      </c>
      <c r="AR40" s="120">
        <f>+IF(AP40*AQ40=0,0,(ROUNDUP(AP40/AQ40,3)))</f>
        <v>0</v>
      </c>
      <c r="AS40" s="2">
        <f>+IF($D40&lt;&gt;"",AS$6*$P40/$T$4*VLOOKUP($M40,CÁRNICOS!$CD$13:$CJ$48,5,FALSE),AS$5*$P40/$T$4*$AS$1)</f>
        <v>0</v>
      </c>
      <c r="AT40" s="2">
        <f>+IF($D40&lt;&gt;"",AT$6*$Q40/$T$4*VLOOKUP($M40,CÁRNICOS!$CD$13:$CJ$48,5,FALSE),AT$5*$Q40/$T$4*$AS$1)</f>
        <v>0</v>
      </c>
      <c r="AU40" s="2">
        <f>+IF($D40&lt;&gt;"",AU$6*$R40/$T$4*VLOOKUP($M40,CÁRNICOS!$CD$13:$CJ$48,5,FALSE),AU$5*$R40/$T$4*$AS$1)</f>
        <v>2.2749999999999999</v>
      </c>
      <c r="AV40" s="2">
        <f>+IF($D40&lt;&gt;"",AV$6*$S40/$T$4*VLOOKUP($M40,CÁRNICOS!$CD$13:$CJ$48,5,FALSE),AV$5*$S40/$T$4*$AS$1)</f>
        <v>0</v>
      </c>
      <c r="AW40" s="2">
        <f>+IF($D40&lt;&gt;"",AW$6*$T40/$T$4*VLOOKUP($M40,CÁRNICOS!$CD$13:$CJ$48,5,FALSE),AW$5*$T40/$T$4*$AS$1)</f>
        <v>0</v>
      </c>
      <c r="AX40" s="120">
        <f>IF($H40&lt;&gt;"",0,SUM(AS40:AW40))</f>
        <v>2.2749999999999999</v>
      </c>
      <c r="AY40" s="149">
        <f>+ROUNDUP(AX40/AY$4,0)</f>
        <v>1</v>
      </c>
      <c r="AZ40" s="120">
        <f>+IF(AX40*AY40=0,0,(ROUNDUP(AX40/AY40,3)))</f>
        <v>2.2749999999999999</v>
      </c>
      <c r="BA40" s="2">
        <f>+IF($D40&lt;&gt;"",BA$6*$P40/$T$4*VLOOKUP($M40,CÁRNICOS!$CD$13:$CJ$48,6,FALSE),BA$5*$P40/$T$4*$BA$1)</f>
        <v>0</v>
      </c>
      <c r="BB40" s="2">
        <f>+IF($D40&lt;&gt;"",BB$6*$Q40/$T$4*VLOOKUP($M40,CÁRNICOS!$CD$13:$CJ$48,6,FALSE),BB$5*$Q40/$T$4*$BA$1)</f>
        <v>0</v>
      </c>
      <c r="BC40" s="2">
        <f>+IF($D40&lt;&gt;"",BC$6*$R40/$T$4*VLOOKUP($M40,CÁRNICOS!$CD$13:$CJ$48,6,FALSE),BC$5*$R40/$T$4*$BA$1)</f>
        <v>0</v>
      </c>
      <c r="BD40" s="2">
        <f>+IF($D40&lt;&gt;"",BD$6*$S40/$T$4*VLOOKUP($M40,CÁRNICOS!$CD$13:$CJ$48,6,FALSE),BD$5*$S40/$T$4*$BA$1)</f>
        <v>0</v>
      </c>
      <c r="BE40" s="2">
        <f>+IF($D40&lt;&gt;"",BE$6*$T40/$T$4*VLOOKUP($M40,CÁRNICOS!$CD$13:$CJ$48,6,FALSE),BE$5*$T40/$T$4*$BA$1)</f>
        <v>0</v>
      </c>
      <c r="BF40" s="120">
        <f t="shared" ref="BF40:BF71" si="32">IF($I40&lt;&gt;"",0,SUM(BA40:BE40))</f>
        <v>0</v>
      </c>
      <c r="BG40" s="149">
        <f t="shared" ref="BG40:BG71" si="33">+ROUNDUP(BF40/BG$4,0)</f>
        <v>0</v>
      </c>
      <c r="BH40" s="120">
        <f t="shared" ref="BH40:BH71" si="34">+IF(BF40*BG40=0,0,(ROUNDUP(BF40/BG40,3)))</f>
        <v>0</v>
      </c>
      <c r="BI40" s="2">
        <f>+IF($D40&lt;&gt;"",BI$6*$P40/$T$4*VLOOKUP($M40,CÁRNICOS!$CD$13:$CJ$48,7,FALSE),BI$5*$P40/$T$4*$BI$1)</f>
        <v>0</v>
      </c>
      <c r="BJ40" s="2">
        <f>+IF($D40&lt;&gt;"",BJ$6*$Q40/$T$4*VLOOKUP($M40,CÁRNICOS!$CD$13:$CJ$48,7,FALSE),BJ$5*$Q40/$T$4*$BI$1)</f>
        <v>0</v>
      </c>
      <c r="BK40" s="2">
        <f>+IF($D40&lt;&gt;"",BK$6*$R40/$T$4*VLOOKUP($M40,CÁRNICOS!$CD$13:$CJ$48,7,FALSE),BK$5*$R40/$T$4*$BI$1)</f>
        <v>0</v>
      </c>
      <c r="BL40" s="2">
        <f>+IF($D40&lt;&gt;"",BL$6*$S40/$T$4*VLOOKUP($M40,CÁRNICOS!$CD$13:$CJ$48,7,FALSE),BL$5*$S40/$T$4*$BI$1)</f>
        <v>0</v>
      </c>
      <c r="BM40" s="2">
        <f>+IF($D40&lt;&gt;"",BM$6*$T40/$T$4*VLOOKUP($M40,CÁRNICOS!$CD$13:$CJ$48,7,FALSE),BM$5*$T40/$T$4*$BI$1)</f>
        <v>0</v>
      </c>
      <c r="BN40" s="120">
        <f t="shared" ref="BN40:BN71" si="35">IF($J40&lt;&gt;"",0,SUM(BI40:BM40))</f>
        <v>0</v>
      </c>
      <c r="BO40" s="149">
        <f t="shared" si="16"/>
        <v>0</v>
      </c>
      <c r="BP40" s="120">
        <f t="shared" si="17"/>
        <v>0</v>
      </c>
      <c r="BR40" s="74" t="str">
        <f t="shared" si="6"/>
        <v>U</v>
      </c>
      <c r="BS40" s="74" t="str">
        <f t="shared" si="7"/>
        <v>NEIRA</v>
      </c>
      <c r="BT40" s="74" t="str">
        <f t="shared" si="8"/>
        <v>INSTITUCION EDUCATVA NUESTRA SENORA DEL ROSARIO</v>
      </c>
      <c r="BU40" s="74" t="str">
        <f t="shared" si="9"/>
        <v>ESCUELA ABRAHAM MONTOYA</v>
      </c>
      <c r="BV40" s="74">
        <f t="shared" si="10"/>
        <v>0</v>
      </c>
      <c r="BW40" s="74">
        <f t="shared" si="11"/>
        <v>0</v>
      </c>
      <c r="BX40" s="74">
        <f t="shared" si="12"/>
        <v>0</v>
      </c>
      <c r="BY40" s="74">
        <f t="shared" si="13"/>
        <v>2.2749999999999999</v>
      </c>
      <c r="BZ40" s="74">
        <f t="shared" si="14"/>
        <v>0</v>
      </c>
      <c r="CA40" s="74">
        <f t="shared" si="15"/>
        <v>0</v>
      </c>
      <c r="CD40" s="135" t="str">
        <f>+CONSOLIDADO!C38</f>
        <v>TOTAL OCC. PRÓSPERO</v>
      </c>
      <c r="CE40" s="136">
        <f t="shared" si="31"/>
        <v>0</v>
      </c>
      <c r="CF40" s="136">
        <f t="shared" si="31"/>
        <v>0</v>
      </c>
      <c r="CG40" s="136">
        <f t="shared" si="31"/>
        <v>0</v>
      </c>
      <c r="CH40" s="136">
        <f t="shared" si="31"/>
        <v>1</v>
      </c>
      <c r="CI40" s="136">
        <f t="shared" si="31"/>
        <v>0</v>
      </c>
      <c r="CJ40" s="136">
        <f t="shared" si="31"/>
        <v>0</v>
      </c>
    </row>
    <row r="41" spans="2:88" ht="29.95" customHeight="1" x14ac:dyDescent="0.3">
      <c r="B41" s="46">
        <f>+COUNTIF($M$8:M41,M41)</f>
        <v>1</v>
      </c>
      <c r="C41" s="14">
        <f>SUM(P41:T41)</f>
        <v>120</v>
      </c>
      <c r="D41" s="22" t="s">
        <v>73</v>
      </c>
      <c r="E41" s="124"/>
      <c r="F41" s="60"/>
      <c r="G41" s="60"/>
      <c r="H41" s="60"/>
      <c r="I41" s="60"/>
      <c r="J41" s="60"/>
      <c r="K41" s="59"/>
      <c r="L41" s="122">
        <v>1</v>
      </c>
      <c r="M41" s="164" t="s">
        <v>17</v>
      </c>
      <c r="N41" s="164" t="s">
        <v>208</v>
      </c>
      <c r="O41" s="165" t="s">
        <v>209</v>
      </c>
      <c r="P41" s="166">
        <v>0</v>
      </c>
      <c r="Q41" s="166">
        <v>0</v>
      </c>
      <c r="R41" s="167">
        <v>0</v>
      </c>
      <c r="S41" s="74">
        <v>120</v>
      </c>
      <c r="T41" s="74">
        <v>0</v>
      </c>
      <c r="U41" s="2">
        <f>+IF($D41&lt;&gt;"",U$6*$P41/$T$4*VLOOKUP($M41,CÁRNICOS!$CD$13:$CJ$48,2,FALSE),U$5*$P41/$T$4*$U$1)</f>
        <v>0</v>
      </c>
      <c r="V41" s="2">
        <f>+IF($D41&lt;&gt;"",V$6*$Q41/$T$4*VLOOKUP($M41,CÁRNICOS!$CD$13:$CJ$48,2,FALSE),V$5*$Q41/$T$4*$U$1)</f>
        <v>0</v>
      </c>
      <c r="W41" s="2">
        <f>+IF($D41&lt;&gt;"",W$6*$R41/$T$4*VLOOKUP($M41,CÁRNICOS!$CD$13:$CJ$48,2,FALSE),W$5*$R41/$T$4*$U$1)</f>
        <v>0</v>
      </c>
      <c r="X41" s="2">
        <f>+IF($D41&lt;&gt;"",X$6*$S41/$T$4*VLOOKUP($M41,CÁRNICOS!$CD$13:$CJ$48,2,FALSE),X$5*$S41/$T$4*$U$1)</f>
        <v>0</v>
      </c>
      <c r="Y41" s="2">
        <f>+IF($D41&lt;&gt;"",Y$6*$T41/$T$4*VLOOKUP($M41,CÁRNICOS!$CD$13:$CJ$48,2,FALSE),Y$5*$T41/$T$4*$U$1)</f>
        <v>0</v>
      </c>
      <c r="Z41" s="146">
        <f>IF($E41&lt;&gt;"",0,SUM(U41:Y41))</f>
        <v>0</v>
      </c>
      <c r="AA41" s="149">
        <f>+ROUNDUP(Z41/AA$4,0)</f>
        <v>0</v>
      </c>
      <c r="AB41" s="120">
        <f>+IF(Z41*AA41=0,0,(ROUNDUP(Z41/AA41,3)))</f>
        <v>0</v>
      </c>
      <c r="AC41" s="147">
        <f>+IF($D41&lt;&gt;"",AC$6*$P41/$T$4*VLOOKUP($M41,CÁRNICOS!$CD$13:$CJ$48,3,FALSE),AC$5*$P41/$T$4*$AC$1)</f>
        <v>0</v>
      </c>
      <c r="AD41" s="147">
        <f>+IF($D41&lt;&gt;"",AD$6*$Q41/$T$4*VLOOKUP($M41,CÁRNICOS!$CD$13:$CJ$48,3,FALSE),AD$5*$Q41/$T$4*$AC$1)</f>
        <v>0</v>
      </c>
      <c r="AE41" s="2">
        <f>+IF($D41&lt;&gt;"",AE$6*$R41/$T$4*VLOOKUP($M41,CÁRNICOS!$CD$13:$CJ$48,3,FALSE),AE$5*$R41/$T$4*$AC$1)</f>
        <v>0</v>
      </c>
      <c r="AF41" s="2">
        <f>+IF($D41&lt;&gt;"",AF$6*$S41/$T$4*VLOOKUP($M41,CÁRNICOS!$CD$13:$CJ$48,3,FALSE),AF$5*$S41/$T$4*$AC$1)</f>
        <v>0</v>
      </c>
      <c r="AG41" s="2">
        <f>+IF($D41&lt;&gt;"",AG$6*$T41/$T$4*VLOOKUP($M41,CÁRNICOS!$CD$13:$CJ$48,3,FALSE),AG$5*$T41/$T$4*$AC$1)</f>
        <v>0</v>
      </c>
      <c r="AH41" s="120">
        <f>IF($F41&lt;&gt;"",0,SUM(AC41:AG41))</f>
        <v>0</v>
      </c>
      <c r="AI41" s="149">
        <f>+ROUNDUP(AH41/AI$4,0)</f>
        <v>0</v>
      </c>
      <c r="AJ41" s="120">
        <f>+IF(AH41*AI41=0,0,(ROUNDUP(AH41/AI41,3)))</f>
        <v>0</v>
      </c>
      <c r="AK41" s="2">
        <f>+IF($D41&lt;&gt;"",AK$6*$P41/$T$4*VLOOKUP($M41,CÁRNICOS!$CD$13:$CJ$48,4,FALSE),AK$5*$P41/$T$4*$AK$1)</f>
        <v>0</v>
      </c>
      <c r="AL41" s="2">
        <f>+IF($D41&lt;&gt;"",AL$6*$Q41/$T$4*VLOOKUP($M41,CÁRNICOS!$CD$13:$CJ$48,4,FALSE),AL$5*$Q41/$T$4*$AK$1)</f>
        <v>0</v>
      </c>
      <c r="AM41" s="2">
        <f>+IF($D41&lt;&gt;"",AM$6*$R41/$T$4*VLOOKUP($M41,CÁRNICOS!$CD$13:$CJ$48,4,FALSE),AM$5*$R41/$T$4*$AK$1)</f>
        <v>0</v>
      </c>
      <c r="AN41" s="2">
        <f>+IF($D41&lt;&gt;"",AN$6*$S41/$T$4*VLOOKUP($M41,CÁRNICOS!$CD$13:$CJ$48,4,FALSE),AN$5*$S41/$T$4*$AK$1)</f>
        <v>0</v>
      </c>
      <c r="AO41" s="2">
        <f>+IF($D41&lt;&gt;"",AO$6*$T41/$T$4*VLOOKUP($M41,CÁRNICOS!$CD$13:$CJ$48,4,FALSE),AO$5*$T41/$T$4*$AK$1)</f>
        <v>0</v>
      </c>
      <c r="AP41" s="120">
        <f>IF($G41&lt;&gt;"",0,SUM(AK41:AO41))</f>
        <v>0</v>
      </c>
      <c r="AQ41" s="149">
        <f>+ROUNDUP(AP41/AQ$4,0)</f>
        <v>0</v>
      </c>
      <c r="AR41" s="120">
        <f>+IF(AP41*AQ41=0,0,(ROUNDUP(AP41/AQ41,3)))</f>
        <v>0</v>
      </c>
      <c r="AS41" s="2">
        <f>+IF($D41&lt;&gt;"",AS$6*$P41/$T$4*VLOOKUP($M41,CÁRNICOS!$CD$13:$CJ$48,5,FALSE),AS$5*$P41/$T$4*$AS$1)</f>
        <v>0</v>
      </c>
      <c r="AT41" s="2">
        <f>+IF($D41&lt;&gt;"",AT$6*$Q41/$T$4*VLOOKUP($M41,CÁRNICOS!$CD$13:$CJ$48,5,FALSE),AT$5*$Q41/$T$4*$AS$1)</f>
        <v>0</v>
      </c>
      <c r="AU41" s="2">
        <f>+IF($D41&lt;&gt;"",AU$6*$R41/$T$4*VLOOKUP($M41,CÁRNICOS!$CD$13:$CJ$48,5,FALSE),AU$5*$R41/$T$4*$AS$1)</f>
        <v>0</v>
      </c>
      <c r="AV41" s="2">
        <f>+IF($D41&lt;&gt;"",AV$6*$S41/$T$4*VLOOKUP($M41,CÁRNICOS!$CD$13:$CJ$48,5,FALSE),AV$5*$S41/$T$4*$AS$1)</f>
        <v>9.6</v>
      </c>
      <c r="AW41" s="2">
        <f>+IF($D41&lt;&gt;"",AW$6*$T41/$T$4*VLOOKUP($M41,CÁRNICOS!$CD$13:$CJ$48,5,FALSE),AW$5*$T41/$T$4*$AS$1)</f>
        <v>0</v>
      </c>
      <c r="AX41" s="120">
        <f>IF($H41&lt;&gt;"",0,SUM(AS41:AW41))</f>
        <v>9.6</v>
      </c>
      <c r="AY41" s="149">
        <f>+ROUNDUP(AX41/AY$4,0)</f>
        <v>1</v>
      </c>
      <c r="AZ41" s="120">
        <f>+IF(AX41*AY41=0,0,(ROUNDUP(AX41/AY41,3)))</f>
        <v>9.6</v>
      </c>
      <c r="BA41" s="2">
        <f>+IF($D41&lt;&gt;"",BA$6*$P41/$T$4*VLOOKUP($M41,CÁRNICOS!$CD$13:$CJ$48,6,FALSE),BA$5*$P41/$T$4*$BA$1)</f>
        <v>0</v>
      </c>
      <c r="BB41" s="2">
        <f>+IF($D41&lt;&gt;"",BB$6*$Q41/$T$4*VLOOKUP($M41,CÁRNICOS!$CD$13:$CJ$48,6,FALSE),BB$5*$Q41/$T$4*$BA$1)</f>
        <v>0</v>
      </c>
      <c r="BC41" s="2">
        <f>+IF($D41&lt;&gt;"",BC$6*$R41/$T$4*VLOOKUP($M41,CÁRNICOS!$CD$13:$CJ$48,6,FALSE),BC$5*$R41/$T$4*$BA$1)</f>
        <v>0</v>
      </c>
      <c r="BD41" s="2">
        <f>+IF($D41&lt;&gt;"",BD$6*$S41/$T$4*VLOOKUP($M41,CÁRNICOS!$CD$13:$CJ$48,6,FALSE),BD$5*$S41/$T$4*$BA$1)</f>
        <v>0</v>
      </c>
      <c r="BE41" s="2">
        <f>+IF($D41&lt;&gt;"",BE$6*$T41/$T$4*VLOOKUP($M41,CÁRNICOS!$CD$13:$CJ$48,6,FALSE),BE$5*$T41/$T$4*$BA$1)</f>
        <v>0</v>
      </c>
      <c r="BF41" s="120">
        <f t="shared" si="32"/>
        <v>0</v>
      </c>
      <c r="BG41" s="149">
        <f t="shared" si="33"/>
        <v>0</v>
      </c>
      <c r="BH41" s="120">
        <f t="shared" si="34"/>
        <v>0</v>
      </c>
      <c r="BI41" s="2">
        <f>+IF($D41&lt;&gt;"",BI$6*$P41/$T$4*VLOOKUP($M41,CÁRNICOS!$CD$13:$CJ$48,7,FALSE),BI$5*$P41/$T$4*$BI$1)</f>
        <v>0</v>
      </c>
      <c r="BJ41" s="2">
        <f>+IF($D41&lt;&gt;"",BJ$6*$Q41/$T$4*VLOOKUP($M41,CÁRNICOS!$CD$13:$CJ$48,7,FALSE),BJ$5*$Q41/$T$4*$BI$1)</f>
        <v>0</v>
      </c>
      <c r="BK41" s="2">
        <f>+IF($D41&lt;&gt;"",BK$6*$R41/$T$4*VLOOKUP($M41,CÁRNICOS!$CD$13:$CJ$48,7,FALSE),BK$5*$R41/$T$4*$BI$1)</f>
        <v>0</v>
      </c>
      <c r="BL41" s="2">
        <f>+IF($D41&lt;&gt;"",BL$6*$S41/$T$4*VLOOKUP($M41,CÁRNICOS!$CD$13:$CJ$48,7,FALSE),BL$5*$S41/$T$4*$BI$1)</f>
        <v>0</v>
      </c>
      <c r="BM41" s="2">
        <f>+IF($D41&lt;&gt;"",BM$6*$T41/$T$4*VLOOKUP($M41,CÁRNICOS!$CD$13:$CJ$48,7,FALSE),BM$5*$T41/$T$4*$BI$1)</f>
        <v>0</v>
      </c>
      <c r="BN41" s="120">
        <f t="shared" si="35"/>
        <v>0</v>
      </c>
      <c r="BO41" s="149">
        <f t="shared" si="16"/>
        <v>0</v>
      </c>
      <c r="BP41" s="120">
        <f t="shared" si="17"/>
        <v>0</v>
      </c>
      <c r="BR41" s="74">
        <f t="shared" si="6"/>
        <v>1</v>
      </c>
      <c r="BS41" s="74" t="str">
        <f t="shared" si="7"/>
        <v>NORCASIA</v>
      </c>
      <c r="BT41" s="74" t="str">
        <f t="shared" si="8"/>
        <v>INSTITUCION EDUCATIVA SAN GERARDO MARIA MAYELA</v>
      </c>
      <c r="BU41" s="74" t="str">
        <f t="shared" si="9"/>
        <v>INSTITUCIÓN EDUCATIVA SAN GERARDO MARIA MAYELA - SEDE PRINCIPAL</v>
      </c>
      <c r="BV41" s="74">
        <f t="shared" si="10"/>
        <v>0</v>
      </c>
      <c r="BW41" s="74">
        <f t="shared" si="11"/>
        <v>0</v>
      </c>
      <c r="BX41" s="74">
        <f t="shared" si="12"/>
        <v>0</v>
      </c>
      <c r="BY41" s="74">
        <f t="shared" si="13"/>
        <v>9.6</v>
      </c>
      <c r="BZ41" s="74">
        <f t="shared" si="14"/>
        <v>0</v>
      </c>
      <c r="CA41" s="74">
        <f t="shared" si="15"/>
        <v>0</v>
      </c>
      <c r="CD41" s="135" t="str">
        <f>+CONSOLIDADO!C39</f>
        <v>FILADELFIA</v>
      </c>
      <c r="CE41" s="136">
        <f t="shared" si="31"/>
        <v>0</v>
      </c>
      <c r="CF41" s="136">
        <f t="shared" si="31"/>
        <v>0</v>
      </c>
      <c r="CG41" s="136">
        <f t="shared" si="31"/>
        <v>0</v>
      </c>
      <c r="CH41" s="136">
        <f t="shared" si="31"/>
        <v>1</v>
      </c>
      <c r="CI41" s="136">
        <f t="shared" si="31"/>
        <v>0</v>
      </c>
      <c r="CJ41" s="136">
        <f t="shared" si="31"/>
        <v>0</v>
      </c>
    </row>
    <row r="42" spans="2:88" ht="29.95" customHeight="1" x14ac:dyDescent="0.3">
      <c r="B42" s="46">
        <f>+COUNTIF($M$8:M42,M42)</f>
        <v>1</v>
      </c>
      <c r="C42" s="14">
        <f>SUM(P42:T42)</f>
        <v>47</v>
      </c>
      <c r="D42" s="22" t="s">
        <v>73</v>
      </c>
      <c r="E42" s="124"/>
      <c r="F42" s="60"/>
      <c r="G42" s="60"/>
      <c r="H42" s="60"/>
      <c r="I42" s="60"/>
      <c r="J42" s="60"/>
      <c r="K42" s="59"/>
      <c r="L42" s="122">
        <v>1</v>
      </c>
      <c r="M42" s="164" t="s">
        <v>41</v>
      </c>
      <c r="N42" s="164" t="s">
        <v>210</v>
      </c>
      <c r="O42" s="165" t="s">
        <v>211</v>
      </c>
      <c r="P42" s="166">
        <v>0</v>
      </c>
      <c r="Q42" s="166">
        <v>29</v>
      </c>
      <c r="R42" s="167">
        <v>18</v>
      </c>
      <c r="S42" s="74">
        <v>0</v>
      </c>
      <c r="T42" s="74">
        <v>0</v>
      </c>
      <c r="U42" s="2">
        <f>+IF($D42&lt;&gt;"",U$6*$P42/$T$4*VLOOKUP($M42,CÁRNICOS!$CD$13:$CJ$48,2,FALSE),U$5*$P42/$T$4*$U$1)</f>
        <v>0</v>
      </c>
      <c r="V42" s="2">
        <f>+IF($D42&lt;&gt;"",V$6*$Q42/$T$4*VLOOKUP($M42,CÁRNICOS!$CD$13:$CJ$48,2,FALSE),V$5*$Q42/$T$4*$U$1)</f>
        <v>0</v>
      </c>
      <c r="W42" s="2">
        <f>+IF($D42&lt;&gt;"",W$6*$R42/$T$4*VLOOKUP($M42,CÁRNICOS!$CD$13:$CJ$48,2,FALSE),W$5*$R42/$T$4*$U$1)</f>
        <v>0</v>
      </c>
      <c r="X42" s="2">
        <f>+IF($D42&lt;&gt;"",X$6*$S42/$T$4*VLOOKUP($M42,CÁRNICOS!$CD$13:$CJ$48,2,FALSE),X$5*$S42/$T$4*$U$1)</f>
        <v>0</v>
      </c>
      <c r="Y42" s="2">
        <f>+IF($D42&lt;&gt;"",Y$6*$T42/$T$4*VLOOKUP($M42,CÁRNICOS!$CD$13:$CJ$48,2,FALSE),Y$5*$T42/$T$4*$U$1)</f>
        <v>0</v>
      </c>
      <c r="Z42" s="146">
        <f>IF($E42&lt;&gt;"",0,SUM(U42:Y42))</f>
        <v>0</v>
      </c>
      <c r="AA42" s="149">
        <f>+ROUNDUP(Z42/AA$4,0)</f>
        <v>0</v>
      </c>
      <c r="AB42" s="120">
        <f>+IF(Z42*AA42=0,0,(ROUNDUP(Z42/AA42,3)))</f>
        <v>0</v>
      </c>
      <c r="AC42" s="147">
        <f>+IF($D42&lt;&gt;"",AC$6*$P42/$T$4*VLOOKUP($M42,CÁRNICOS!$CD$13:$CJ$48,3,FALSE),AC$5*$P42/$T$4*$AC$1)</f>
        <v>0</v>
      </c>
      <c r="AD42" s="147">
        <f>+IF($D42&lt;&gt;"",AD$6*$Q42/$T$4*VLOOKUP($M42,CÁRNICOS!$CD$13:$CJ$48,3,FALSE),AD$5*$Q42/$T$4*$AC$1)</f>
        <v>0</v>
      </c>
      <c r="AE42" s="2">
        <f>+IF($D42&lt;&gt;"",AE$6*$R42/$T$4*VLOOKUP($M42,CÁRNICOS!$CD$13:$CJ$48,3,FALSE),AE$5*$R42/$T$4*$AC$1)</f>
        <v>0</v>
      </c>
      <c r="AF42" s="2">
        <f>+IF($D42&lt;&gt;"",AF$6*$S42/$T$4*VLOOKUP($M42,CÁRNICOS!$CD$13:$CJ$48,3,FALSE),AF$5*$S42/$T$4*$AC$1)</f>
        <v>0</v>
      </c>
      <c r="AG42" s="2">
        <f>+IF($D42&lt;&gt;"",AG$6*$T42/$T$4*VLOOKUP($M42,CÁRNICOS!$CD$13:$CJ$48,3,FALSE),AG$5*$T42/$T$4*$AC$1)</f>
        <v>0</v>
      </c>
      <c r="AH42" s="120">
        <f>IF($F42&lt;&gt;"",0,SUM(AC42:AG42))</f>
        <v>0</v>
      </c>
      <c r="AI42" s="149">
        <f>+ROUNDUP(AH42/AI$4,0)</f>
        <v>0</v>
      </c>
      <c r="AJ42" s="120">
        <f>+IF(AH42*AI42=0,0,(ROUNDUP(AH42/AI42,3)))</f>
        <v>0</v>
      </c>
      <c r="AK42" s="2">
        <f>+IF($D42&lt;&gt;"",AK$6*$P42/$T$4*VLOOKUP($M42,CÁRNICOS!$CD$13:$CJ$48,4,FALSE),AK$5*$P42/$T$4*$AK$1)</f>
        <v>0</v>
      </c>
      <c r="AL42" s="2">
        <f>+IF($D42&lt;&gt;"",AL$6*$Q42/$T$4*VLOOKUP($M42,CÁRNICOS!$CD$13:$CJ$48,4,FALSE),AL$5*$Q42/$T$4*$AK$1)</f>
        <v>0</v>
      </c>
      <c r="AM42" s="2">
        <f>+IF($D42&lt;&gt;"",AM$6*$R42/$T$4*VLOOKUP($M42,CÁRNICOS!$CD$13:$CJ$48,4,FALSE),AM$5*$R42/$T$4*$AK$1)</f>
        <v>0</v>
      </c>
      <c r="AN42" s="2">
        <f>+IF($D42&lt;&gt;"",AN$6*$S42/$T$4*VLOOKUP($M42,CÁRNICOS!$CD$13:$CJ$48,4,FALSE),AN$5*$S42/$T$4*$AK$1)</f>
        <v>0</v>
      </c>
      <c r="AO42" s="2">
        <f>+IF($D42&lt;&gt;"",AO$6*$T42/$T$4*VLOOKUP($M42,CÁRNICOS!$CD$13:$CJ$48,4,FALSE),AO$5*$T42/$T$4*$AK$1)</f>
        <v>0</v>
      </c>
      <c r="AP42" s="120">
        <f>IF($G42&lt;&gt;"",0,SUM(AK42:AO42))</f>
        <v>0</v>
      </c>
      <c r="AQ42" s="149">
        <f>+ROUNDUP(AP42/AQ$4,0)</f>
        <v>0</v>
      </c>
      <c r="AR42" s="120">
        <f>+IF(AP42*AQ42=0,0,(ROUNDUP(AP42/AQ42,3)))</f>
        <v>0</v>
      </c>
      <c r="AS42" s="2">
        <f>+IF($D42&lt;&gt;"",AS$6*$P42/$T$4*VLOOKUP($M42,CÁRNICOS!$CD$13:$CJ$48,5,FALSE),AS$5*$P42/$T$4*$AS$1)</f>
        <v>0</v>
      </c>
      <c r="AT42" s="2">
        <f>+IF($D42&lt;&gt;"",AT$6*$Q42/$T$4*VLOOKUP($M42,CÁRNICOS!$CD$13:$CJ$48,5,FALSE),AT$5*$Q42/$T$4*$AS$1)</f>
        <v>1.5660000000000001</v>
      </c>
      <c r="AU42" s="2">
        <f>+IF($D42&lt;&gt;"",AU$6*$R42/$T$4*VLOOKUP($M42,CÁRNICOS!$CD$13:$CJ$48,5,FALSE),AU$5*$R42/$T$4*$AS$1)</f>
        <v>1.17</v>
      </c>
      <c r="AV42" s="2">
        <f>+IF($D42&lt;&gt;"",AV$6*$S42/$T$4*VLOOKUP($M42,CÁRNICOS!$CD$13:$CJ$48,5,FALSE),AV$5*$S42/$T$4*$AS$1)</f>
        <v>0</v>
      </c>
      <c r="AW42" s="2">
        <f>+IF($D42&lt;&gt;"",AW$6*$T42/$T$4*VLOOKUP($M42,CÁRNICOS!$CD$13:$CJ$48,5,FALSE),AW$5*$T42/$T$4*$AS$1)</f>
        <v>0</v>
      </c>
      <c r="AX42" s="120">
        <f>IF($H42&lt;&gt;"",0,SUM(AS42:AW42))</f>
        <v>2.7359999999999998</v>
      </c>
      <c r="AY42" s="149">
        <f>+ROUNDUP(AX42/AY$4,0)</f>
        <v>1</v>
      </c>
      <c r="AZ42" s="120">
        <f>+IF(AX42*AY42=0,0,(ROUNDUP(AX42/AY42,3)))</f>
        <v>2.7360000000000002</v>
      </c>
      <c r="BA42" s="2">
        <f>+IF($D42&lt;&gt;"",BA$6*$P42/$T$4*VLOOKUP($M42,CÁRNICOS!$CD$13:$CJ$48,6,FALSE),BA$5*$P42/$T$4*$BA$1)</f>
        <v>0</v>
      </c>
      <c r="BB42" s="2">
        <f>+IF($D42&lt;&gt;"",BB$6*$Q42/$T$4*VLOOKUP($M42,CÁRNICOS!$CD$13:$CJ$48,6,FALSE),BB$5*$Q42/$T$4*$BA$1)</f>
        <v>0</v>
      </c>
      <c r="BC42" s="2">
        <f>+IF($D42&lt;&gt;"",BC$6*$R42/$T$4*VLOOKUP($M42,CÁRNICOS!$CD$13:$CJ$48,6,FALSE),BC$5*$R42/$T$4*$BA$1)</f>
        <v>0</v>
      </c>
      <c r="BD42" s="2">
        <f>+IF($D42&lt;&gt;"",BD$6*$S42/$T$4*VLOOKUP($M42,CÁRNICOS!$CD$13:$CJ$48,6,FALSE),BD$5*$S42/$T$4*$BA$1)</f>
        <v>0</v>
      </c>
      <c r="BE42" s="2">
        <f>+IF($D42&lt;&gt;"",BE$6*$T42/$T$4*VLOOKUP($M42,CÁRNICOS!$CD$13:$CJ$48,6,FALSE),BE$5*$T42/$T$4*$BA$1)</f>
        <v>0</v>
      </c>
      <c r="BF42" s="120">
        <f t="shared" si="32"/>
        <v>0</v>
      </c>
      <c r="BG42" s="149">
        <f t="shared" si="33"/>
        <v>0</v>
      </c>
      <c r="BH42" s="120">
        <f t="shared" si="34"/>
        <v>0</v>
      </c>
      <c r="BI42" s="2">
        <f>+IF($D42&lt;&gt;"",BI$6*$P42/$T$4*VLOOKUP($M42,CÁRNICOS!$CD$13:$CJ$48,7,FALSE),BI$5*$P42/$T$4*$BI$1)</f>
        <v>0</v>
      </c>
      <c r="BJ42" s="2">
        <f>+IF($D42&lt;&gt;"",BJ$6*$Q42/$T$4*VLOOKUP($M42,CÁRNICOS!$CD$13:$CJ$48,7,FALSE),BJ$5*$Q42/$T$4*$BI$1)</f>
        <v>0</v>
      </c>
      <c r="BK42" s="2">
        <f>+IF($D42&lt;&gt;"",BK$6*$R42/$T$4*VLOOKUP($M42,CÁRNICOS!$CD$13:$CJ$48,7,FALSE),BK$5*$R42/$T$4*$BI$1)</f>
        <v>0</v>
      </c>
      <c r="BL42" s="2">
        <f>+IF($D42&lt;&gt;"",BL$6*$S42/$T$4*VLOOKUP($M42,CÁRNICOS!$CD$13:$CJ$48,7,FALSE),BL$5*$S42/$T$4*$BI$1)</f>
        <v>0</v>
      </c>
      <c r="BM42" s="2">
        <f>+IF($D42&lt;&gt;"",BM$6*$T42/$T$4*VLOOKUP($M42,CÁRNICOS!$CD$13:$CJ$48,7,FALSE),BM$5*$T42/$T$4*$BI$1)</f>
        <v>0</v>
      </c>
      <c r="BN42" s="120">
        <f t="shared" si="35"/>
        <v>0</v>
      </c>
      <c r="BO42" s="149">
        <f t="shared" si="16"/>
        <v>0</v>
      </c>
      <c r="BP42" s="120">
        <f t="shared" si="17"/>
        <v>0</v>
      </c>
      <c r="BR42" s="74">
        <f t="shared" si="6"/>
        <v>1</v>
      </c>
      <c r="BS42" s="74" t="str">
        <f t="shared" si="7"/>
        <v>PÁCORA</v>
      </c>
      <c r="BT42" s="74" t="str">
        <f t="shared" si="8"/>
        <v>INSTITUCION EDUCATIVA ESCUELA NORMAL SUPERIOR SAN JOSE</v>
      </c>
      <c r="BU42" s="74" t="str">
        <f t="shared" si="9"/>
        <v>INSTITUCION EDUCATIVA ESCUELA NORMAL SUPERIOR SAN JOSE - SEDE PRINCIPAL</v>
      </c>
      <c r="BV42" s="74">
        <f t="shared" si="10"/>
        <v>0</v>
      </c>
      <c r="BW42" s="74">
        <f t="shared" si="11"/>
        <v>0</v>
      </c>
      <c r="BX42" s="74">
        <f t="shared" si="12"/>
        <v>0</v>
      </c>
      <c r="BY42" s="74">
        <f t="shared" si="13"/>
        <v>2.7359999999999998</v>
      </c>
      <c r="BZ42" s="74">
        <f t="shared" si="14"/>
        <v>0</v>
      </c>
      <c r="CA42" s="74">
        <f t="shared" si="15"/>
        <v>0</v>
      </c>
      <c r="CD42" s="135" t="str">
        <f>+CONSOLIDADO!C40</f>
        <v>LA MERCED</v>
      </c>
      <c r="CE42" s="136">
        <f t="shared" si="31"/>
        <v>0</v>
      </c>
      <c r="CF42" s="136">
        <f t="shared" si="31"/>
        <v>0</v>
      </c>
      <c r="CG42" s="136">
        <f t="shared" si="31"/>
        <v>0</v>
      </c>
      <c r="CH42" s="136">
        <f t="shared" si="31"/>
        <v>1</v>
      </c>
      <c r="CI42" s="136">
        <f t="shared" si="31"/>
        <v>0</v>
      </c>
      <c r="CJ42" s="136">
        <f t="shared" si="31"/>
        <v>0</v>
      </c>
    </row>
    <row r="43" spans="2:88" ht="29.95" customHeight="1" x14ac:dyDescent="0.3">
      <c r="B43" s="46">
        <f>+B42+1</f>
        <v>2</v>
      </c>
      <c r="C43" s="14">
        <f>SUM(P43:T43)</f>
        <v>17</v>
      </c>
      <c r="D43" s="22" t="s">
        <v>73</v>
      </c>
      <c r="E43" s="124"/>
      <c r="F43" s="60"/>
      <c r="G43" s="60"/>
      <c r="H43" s="60"/>
      <c r="I43" s="60"/>
      <c r="J43" s="60"/>
      <c r="K43" s="59"/>
      <c r="L43" s="122">
        <v>1</v>
      </c>
      <c r="M43" s="164" t="s">
        <v>41</v>
      </c>
      <c r="N43" s="164" t="s">
        <v>195</v>
      </c>
      <c r="O43" s="165" t="s">
        <v>212</v>
      </c>
      <c r="P43" s="166">
        <v>0</v>
      </c>
      <c r="Q43" s="166">
        <v>17</v>
      </c>
      <c r="R43" s="167">
        <v>0</v>
      </c>
      <c r="S43" s="74">
        <v>0</v>
      </c>
      <c r="T43" s="74">
        <v>0</v>
      </c>
      <c r="U43" s="2">
        <f>+IF($D43&lt;&gt;"",U$6*$P43/$T$4*VLOOKUP($M43,CÁRNICOS!$CD$13:$CJ$48,2,FALSE),U$5*$P43/$T$4*$U$1)</f>
        <v>0</v>
      </c>
      <c r="V43" s="2">
        <f>+IF($D43&lt;&gt;"",V$6*$Q43/$T$4*VLOOKUP($M43,CÁRNICOS!$CD$13:$CJ$48,2,FALSE),V$5*$Q43/$T$4*$U$1)</f>
        <v>0</v>
      </c>
      <c r="W43" s="2">
        <f>+IF($D43&lt;&gt;"",W$6*$R43/$T$4*VLOOKUP($M43,CÁRNICOS!$CD$13:$CJ$48,2,FALSE),W$5*$R43/$T$4*$U$1)</f>
        <v>0</v>
      </c>
      <c r="X43" s="2">
        <f>+IF($D43&lt;&gt;"",X$6*$S43/$T$4*VLOOKUP($M43,CÁRNICOS!$CD$13:$CJ$48,2,FALSE),X$5*$S43/$T$4*$U$1)</f>
        <v>0</v>
      </c>
      <c r="Y43" s="2">
        <f>+IF($D43&lt;&gt;"",Y$6*$T43/$T$4*VLOOKUP($M43,CÁRNICOS!$CD$13:$CJ$48,2,FALSE),Y$5*$T43/$T$4*$U$1)</f>
        <v>0</v>
      </c>
      <c r="Z43" s="146">
        <f>IF($E43&lt;&gt;"",0,SUM(U43:Y43))</f>
        <v>0</v>
      </c>
      <c r="AA43" s="149">
        <f>+ROUNDUP(Z43/AA$4,0)</f>
        <v>0</v>
      </c>
      <c r="AB43" s="120">
        <f>+IF(Z43*AA43=0,0,(ROUNDUP(Z43/AA43,3)))</f>
        <v>0</v>
      </c>
      <c r="AC43" s="147">
        <f>+IF($D43&lt;&gt;"",AC$6*$P43/$T$4*VLOOKUP($M43,CÁRNICOS!$CD$13:$CJ$48,3,FALSE),AC$5*$P43/$T$4*$AC$1)</f>
        <v>0</v>
      </c>
      <c r="AD43" s="147">
        <f>+IF($D43&lt;&gt;"",AD$6*$Q43/$T$4*VLOOKUP($M43,CÁRNICOS!$CD$13:$CJ$48,3,FALSE),AD$5*$Q43/$T$4*$AC$1)</f>
        <v>0</v>
      </c>
      <c r="AE43" s="2">
        <f>+IF($D43&lt;&gt;"",AE$6*$R43/$T$4*VLOOKUP($M43,CÁRNICOS!$CD$13:$CJ$48,3,FALSE),AE$5*$R43/$T$4*$AC$1)</f>
        <v>0</v>
      </c>
      <c r="AF43" s="2">
        <f>+IF($D43&lt;&gt;"",AF$6*$S43/$T$4*VLOOKUP($M43,CÁRNICOS!$CD$13:$CJ$48,3,FALSE),AF$5*$S43/$T$4*$AC$1)</f>
        <v>0</v>
      </c>
      <c r="AG43" s="2">
        <f>+IF($D43&lt;&gt;"",AG$6*$T43/$T$4*VLOOKUP($M43,CÁRNICOS!$CD$13:$CJ$48,3,FALSE),AG$5*$T43/$T$4*$AC$1)</f>
        <v>0</v>
      </c>
      <c r="AH43" s="120">
        <f>IF($F43&lt;&gt;"",0,SUM(AC43:AG43))</f>
        <v>0</v>
      </c>
      <c r="AI43" s="149">
        <f>+ROUNDUP(AH43/AI$4,0)</f>
        <v>0</v>
      </c>
      <c r="AJ43" s="120">
        <f>+IF(AH43*AI43=0,0,(ROUNDUP(AH43/AI43,3)))</f>
        <v>0</v>
      </c>
      <c r="AK43" s="2">
        <f>+IF($D43&lt;&gt;"",AK$6*$P43/$T$4*VLOOKUP($M43,CÁRNICOS!$CD$13:$CJ$48,4,FALSE),AK$5*$P43/$T$4*$AK$1)</f>
        <v>0</v>
      </c>
      <c r="AL43" s="2">
        <f>+IF($D43&lt;&gt;"",AL$6*$Q43/$T$4*VLOOKUP($M43,CÁRNICOS!$CD$13:$CJ$48,4,FALSE),AL$5*$Q43/$T$4*$AK$1)</f>
        <v>0</v>
      </c>
      <c r="AM43" s="2">
        <f>+IF($D43&lt;&gt;"",AM$6*$R43/$T$4*VLOOKUP($M43,CÁRNICOS!$CD$13:$CJ$48,4,FALSE),AM$5*$R43/$T$4*$AK$1)</f>
        <v>0</v>
      </c>
      <c r="AN43" s="2">
        <f>+IF($D43&lt;&gt;"",AN$6*$S43/$T$4*VLOOKUP($M43,CÁRNICOS!$CD$13:$CJ$48,4,FALSE),AN$5*$S43/$T$4*$AK$1)</f>
        <v>0</v>
      </c>
      <c r="AO43" s="2">
        <f>+IF($D43&lt;&gt;"",AO$6*$T43/$T$4*VLOOKUP($M43,CÁRNICOS!$CD$13:$CJ$48,4,FALSE),AO$5*$T43/$T$4*$AK$1)</f>
        <v>0</v>
      </c>
      <c r="AP43" s="120">
        <f>IF($G43&lt;&gt;"",0,SUM(AK43:AO43))</f>
        <v>0</v>
      </c>
      <c r="AQ43" s="149">
        <f>+ROUNDUP(AP43/AQ$4,0)</f>
        <v>0</v>
      </c>
      <c r="AR43" s="120">
        <f>+IF(AP43*AQ43=0,0,(ROUNDUP(AP43/AQ43,3)))</f>
        <v>0</v>
      </c>
      <c r="AS43" s="2">
        <f>+IF($D43&lt;&gt;"",AS$6*$P43/$T$4*VLOOKUP($M43,CÁRNICOS!$CD$13:$CJ$48,5,FALSE),AS$5*$P43/$T$4*$AS$1)</f>
        <v>0</v>
      </c>
      <c r="AT43" s="2">
        <f>+IF($D43&lt;&gt;"",AT$6*$Q43/$T$4*VLOOKUP($M43,CÁRNICOS!$CD$13:$CJ$48,5,FALSE),AT$5*$Q43/$T$4*$AS$1)</f>
        <v>0.91800000000000004</v>
      </c>
      <c r="AU43" s="2">
        <f>+IF($D43&lt;&gt;"",AU$6*$R43/$T$4*VLOOKUP($M43,CÁRNICOS!$CD$13:$CJ$48,5,FALSE),AU$5*$R43/$T$4*$AS$1)</f>
        <v>0</v>
      </c>
      <c r="AV43" s="2">
        <f>+IF($D43&lt;&gt;"",AV$6*$S43/$T$4*VLOOKUP($M43,CÁRNICOS!$CD$13:$CJ$48,5,FALSE),AV$5*$S43/$T$4*$AS$1)</f>
        <v>0</v>
      </c>
      <c r="AW43" s="2">
        <f>+IF($D43&lt;&gt;"",AW$6*$T43/$T$4*VLOOKUP($M43,CÁRNICOS!$CD$13:$CJ$48,5,FALSE),AW$5*$T43/$T$4*$AS$1)</f>
        <v>0</v>
      </c>
      <c r="AX43" s="120">
        <f>IF($H43&lt;&gt;"",0,SUM(AS43:AW43))</f>
        <v>0.91800000000000004</v>
      </c>
      <c r="AY43" s="149">
        <f>+ROUNDUP(AX43/AY$4,0)</f>
        <v>1</v>
      </c>
      <c r="AZ43" s="120">
        <f>+IF(AX43*AY43=0,0,(ROUNDUP(AX43/AY43,3)))</f>
        <v>0.91800000000000004</v>
      </c>
      <c r="BA43" s="2">
        <f>+IF($D43&lt;&gt;"",BA$6*$P43/$T$4*VLOOKUP($M43,CÁRNICOS!$CD$13:$CJ$48,6,FALSE),BA$5*$P43/$T$4*$BA$1)</f>
        <v>0</v>
      </c>
      <c r="BB43" s="2">
        <f>+IF($D43&lt;&gt;"",BB$6*$Q43/$T$4*VLOOKUP($M43,CÁRNICOS!$CD$13:$CJ$48,6,FALSE),BB$5*$Q43/$T$4*$BA$1)</f>
        <v>0</v>
      </c>
      <c r="BC43" s="2">
        <f>+IF($D43&lt;&gt;"",BC$6*$R43/$T$4*VLOOKUP($M43,CÁRNICOS!$CD$13:$CJ$48,6,FALSE),BC$5*$R43/$T$4*$BA$1)</f>
        <v>0</v>
      </c>
      <c r="BD43" s="2">
        <f>+IF($D43&lt;&gt;"",BD$6*$S43/$T$4*VLOOKUP($M43,CÁRNICOS!$CD$13:$CJ$48,6,FALSE),BD$5*$S43/$T$4*$BA$1)</f>
        <v>0</v>
      </c>
      <c r="BE43" s="2">
        <f>+IF($D43&lt;&gt;"",BE$6*$T43/$T$4*VLOOKUP($M43,CÁRNICOS!$CD$13:$CJ$48,6,FALSE),BE$5*$T43/$T$4*$BA$1)</f>
        <v>0</v>
      </c>
      <c r="BF43" s="120">
        <f t="shared" si="32"/>
        <v>0</v>
      </c>
      <c r="BG43" s="149">
        <f t="shared" si="33"/>
        <v>0</v>
      </c>
      <c r="BH43" s="120">
        <f t="shared" si="34"/>
        <v>0</v>
      </c>
      <c r="BI43" s="2">
        <f>+IF($D43&lt;&gt;"",BI$6*$P43/$T$4*VLOOKUP($M43,CÁRNICOS!$CD$13:$CJ$48,7,FALSE),BI$5*$P43/$T$4*$BI$1)</f>
        <v>0</v>
      </c>
      <c r="BJ43" s="2">
        <f>+IF($D43&lt;&gt;"",BJ$6*$Q43/$T$4*VLOOKUP($M43,CÁRNICOS!$CD$13:$CJ$48,7,FALSE),BJ$5*$Q43/$T$4*$BI$1)</f>
        <v>0</v>
      </c>
      <c r="BK43" s="2">
        <f>+IF($D43&lt;&gt;"",BK$6*$R43/$T$4*VLOOKUP($M43,CÁRNICOS!$CD$13:$CJ$48,7,FALSE),BK$5*$R43/$T$4*$BI$1)</f>
        <v>0</v>
      </c>
      <c r="BL43" s="2">
        <f>+IF($D43&lt;&gt;"",BL$6*$S43/$T$4*VLOOKUP($M43,CÁRNICOS!$CD$13:$CJ$48,7,FALSE),BL$5*$S43/$T$4*$BI$1)</f>
        <v>0</v>
      </c>
      <c r="BM43" s="2">
        <f>+IF($D43&lt;&gt;"",BM$6*$T43/$T$4*VLOOKUP($M43,CÁRNICOS!$CD$13:$CJ$48,7,FALSE),BM$5*$T43/$T$4*$BI$1)</f>
        <v>0</v>
      </c>
      <c r="BN43" s="120">
        <f t="shared" si="35"/>
        <v>0</v>
      </c>
      <c r="BO43" s="149">
        <f t="shared" si="16"/>
        <v>0</v>
      </c>
      <c r="BP43" s="120">
        <f t="shared" si="17"/>
        <v>0</v>
      </c>
      <c r="BR43" s="74">
        <f t="shared" si="6"/>
        <v>1</v>
      </c>
      <c r="BS43" s="74" t="str">
        <f t="shared" si="7"/>
        <v>PÁCORA</v>
      </c>
      <c r="BT43" s="74" t="str">
        <f t="shared" si="8"/>
        <v>INSTITUCION EDUCATIVA MARCO FIDEL SUAREZ</v>
      </c>
      <c r="BU43" s="74" t="str">
        <f t="shared" si="9"/>
        <v>ESCUELA NUESTRA SEÑORA DE LOURDES</v>
      </c>
      <c r="BV43" s="74">
        <f t="shared" si="10"/>
        <v>0</v>
      </c>
      <c r="BW43" s="74">
        <f t="shared" si="11"/>
        <v>0</v>
      </c>
      <c r="BX43" s="74">
        <f t="shared" si="12"/>
        <v>0</v>
      </c>
      <c r="BY43" s="74">
        <f t="shared" si="13"/>
        <v>0.91800000000000004</v>
      </c>
      <c r="BZ43" s="74">
        <f t="shared" si="14"/>
        <v>0</v>
      </c>
      <c r="CA43" s="74">
        <f t="shared" si="15"/>
        <v>0</v>
      </c>
      <c r="CD43" s="135" t="str">
        <f>+CONSOLIDADO!C41</f>
        <v>MARMATO</v>
      </c>
      <c r="CE43" s="136">
        <f t="shared" si="31"/>
        <v>0</v>
      </c>
      <c r="CF43" s="136">
        <f t="shared" si="31"/>
        <v>0</v>
      </c>
      <c r="CG43" s="136">
        <f t="shared" si="31"/>
        <v>0</v>
      </c>
      <c r="CH43" s="136">
        <f t="shared" si="31"/>
        <v>1</v>
      </c>
      <c r="CI43" s="136">
        <f t="shared" si="31"/>
        <v>0</v>
      </c>
      <c r="CJ43" s="136">
        <f t="shared" si="31"/>
        <v>0</v>
      </c>
    </row>
    <row r="44" spans="2:88" ht="29.95" customHeight="1" x14ac:dyDescent="0.3">
      <c r="B44" s="46">
        <f>+B43+1</f>
        <v>3</v>
      </c>
      <c r="C44" s="14">
        <f>SUM(P44:T44)</f>
        <v>6</v>
      </c>
      <c r="D44" s="22" t="s">
        <v>73</v>
      </c>
      <c r="E44" s="124"/>
      <c r="F44" s="60"/>
      <c r="G44" s="60"/>
      <c r="H44" s="60"/>
      <c r="I44" s="60"/>
      <c r="J44" s="60"/>
      <c r="K44" s="59"/>
      <c r="L44" s="122">
        <v>5</v>
      </c>
      <c r="M44" s="164" t="s">
        <v>41</v>
      </c>
      <c r="N44" s="164" t="s">
        <v>281</v>
      </c>
      <c r="O44" s="165" t="s">
        <v>282</v>
      </c>
      <c r="P44" s="166">
        <v>1</v>
      </c>
      <c r="Q44" s="166">
        <v>5</v>
      </c>
      <c r="R44" s="167">
        <v>0</v>
      </c>
      <c r="S44" s="74">
        <v>0</v>
      </c>
      <c r="T44" s="74">
        <v>0</v>
      </c>
      <c r="U44" s="2">
        <f>+IF($D44&lt;&gt;"",U$6*$P44/$T$4*VLOOKUP($M44,CÁRNICOS!$CD$13:$CJ$48,2,FALSE),U$5*$P44/$T$4*$U$1)</f>
        <v>0</v>
      </c>
      <c r="V44" s="2">
        <f>+IF($D44&lt;&gt;"",V$6*$Q44/$T$4*VLOOKUP($M44,CÁRNICOS!$CD$13:$CJ$48,2,FALSE),V$5*$Q44/$T$4*$U$1)</f>
        <v>0</v>
      </c>
      <c r="W44" s="2">
        <f>+IF($D44&lt;&gt;"",W$6*$R44/$T$4*VLOOKUP($M44,CÁRNICOS!$CD$13:$CJ$48,2,FALSE),W$5*$R44/$T$4*$U$1)</f>
        <v>0</v>
      </c>
      <c r="X44" s="2">
        <f>+IF($D44&lt;&gt;"",X$6*$S44/$T$4*VLOOKUP($M44,CÁRNICOS!$CD$13:$CJ$48,2,FALSE),X$5*$S44/$T$4*$U$1)</f>
        <v>0</v>
      </c>
      <c r="Y44" s="2">
        <f>+IF($D44&lt;&gt;"",Y$6*$T44/$T$4*VLOOKUP($M44,CÁRNICOS!$CD$13:$CJ$48,2,FALSE),Y$5*$T44/$T$4*$U$1)</f>
        <v>0</v>
      </c>
      <c r="Z44" s="146">
        <f>IF($E44&lt;&gt;"",0,SUM(U44:Y44))</f>
        <v>0</v>
      </c>
      <c r="AA44" s="149">
        <f>+ROUNDUP(Z44/AA$4,0)</f>
        <v>0</v>
      </c>
      <c r="AB44" s="120">
        <f>+IF(Z44*AA44=0,0,(ROUNDUP(Z44/AA44,3)))</f>
        <v>0</v>
      </c>
      <c r="AC44" s="147">
        <f>+IF($D44&lt;&gt;"",AC$6*$P44/$T$4*VLOOKUP($M44,CÁRNICOS!$CD$13:$CJ$48,3,FALSE),AC$5*$P44/$T$4*$AC$1)</f>
        <v>0</v>
      </c>
      <c r="AD44" s="147">
        <f>+IF($D44&lt;&gt;"",AD$6*$Q44/$T$4*VLOOKUP($M44,CÁRNICOS!$CD$13:$CJ$48,3,FALSE),AD$5*$Q44/$T$4*$AC$1)</f>
        <v>0</v>
      </c>
      <c r="AE44" s="2">
        <f>+IF($D44&lt;&gt;"",AE$6*$R44/$T$4*VLOOKUP($M44,CÁRNICOS!$CD$13:$CJ$48,3,FALSE),AE$5*$R44/$T$4*$AC$1)</f>
        <v>0</v>
      </c>
      <c r="AF44" s="2">
        <f>+IF($D44&lt;&gt;"",AF$6*$S44/$T$4*VLOOKUP($M44,CÁRNICOS!$CD$13:$CJ$48,3,FALSE),AF$5*$S44/$T$4*$AC$1)</f>
        <v>0</v>
      </c>
      <c r="AG44" s="2">
        <f>+IF($D44&lt;&gt;"",AG$6*$T44/$T$4*VLOOKUP($M44,CÁRNICOS!$CD$13:$CJ$48,3,FALSE),AG$5*$T44/$T$4*$AC$1)</f>
        <v>0</v>
      </c>
      <c r="AH44" s="120">
        <f>IF($F44&lt;&gt;"",0,SUM(AC44:AG44))</f>
        <v>0</v>
      </c>
      <c r="AI44" s="149">
        <f>+ROUNDUP(AH44/AI$4,0)</f>
        <v>0</v>
      </c>
      <c r="AJ44" s="120">
        <f>+IF(AH44*AI44=0,0,(ROUNDUP(AH44/AI44,3)))</f>
        <v>0</v>
      </c>
      <c r="AK44" s="2">
        <f>+IF($D44&lt;&gt;"",AK$6*$P44/$T$4*VLOOKUP($M44,CÁRNICOS!$CD$13:$CJ$48,4,FALSE),AK$5*$P44/$T$4*$AK$1)</f>
        <v>0</v>
      </c>
      <c r="AL44" s="2">
        <f>+IF($D44&lt;&gt;"",AL$6*$Q44/$T$4*VLOOKUP($M44,CÁRNICOS!$CD$13:$CJ$48,4,FALSE),AL$5*$Q44/$T$4*$AK$1)</f>
        <v>0</v>
      </c>
      <c r="AM44" s="2">
        <f>+IF($D44&lt;&gt;"",AM$6*$R44/$T$4*VLOOKUP($M44,CÁRNICOS!$CD$13:$CJ$48,4,FALSE),AM$5*$R44/$T$4*$AK$1)</f>
        <v>0</v>
      </c>
      <c r="AN44" s="2">
        <f>+IF($D44&lt;&gt;"",AN$6*$S44/$T$4*VLOOKUP($M44,CÁRNICOS!$CD$13:$CJ$48,4,FALSE),AN$5*$S44/$T$4*$AK$1)</f>
        <v>0</v>
      </c>
      <c r="AO44" s="2">
        <f>+IF($D44&lt;&gt;"",AO$6*$T44/$T$4*VLOOKUP($M44,CÁRNICOS!$CD$13:$CJ$48,4,FALSE),AO$5*$T44/$T$4*$AK$1)</f>
        <v>0</v>
      </c>
      <c r="AP44" s="120">
        <f>IF($G44&lt;&gt;"",0,SUM(AK44:AO44))</f>
        <v>0</v>
      </c>
      <c r="AQ44" s="149">
        <f>+ROUNDUP(AP44/AQ$4,0)</f>
        <v>0</v>
      </c>
      <c r="AR44" s="120">
        <f>+IF(AP44*AQ44=0,0,(ROUNDUP(AP44/AQ44,3)))</f>
        <v>0</v>
      </c>
      <c r="AS44" s="2">
        <f>+IF($D44&lt;&gt;"",AS$6*$P44/$T$4*VLOOKUP($M44,CÁRNICOS!$CD$13:$CJ$48,5,FALSE),AS$5*$P44/$T$4*$AS$1)</f>
        <v>5.3999999999999999E-2</v>
      </c>
      <c r="AT44" s="2">
        <f>+IF($D44&lt;&gt;"",AT$6*$Q44/$T$4*VLOOKUP($M44,CÁRNICOS!$CD$13:$CJ$48,5,FALSE),AT$5*$Q44/$T$4*$AS$1)</f>
        <v>0.27</v>
      </c>
      <c r="AU44" s="2">
        <f>+IF($D44&lt;&gt;"",AU$6*$R44/$T$4*VLOOKUP($M44,CÁRNICOS!$CD$13:$CJ$48,5,FALSE),AU$5*$R44/$T$4*$AS$1)</f>
        <v>0</v>
      </c>
      <c r="AV44" s="2">
        <f>+IF($D44&lt;&gt;"",AV$6*$S44/$T$4*VLOOKUP($M44,CÁRNICOS!$CD$13:$CJ$48,5,FALSE),AV$5*$S44/$T$4*$AS$1)</f>
        <v>0</v>
      </c>
      <c r="AW44" s="2">
        <f>+IF($D44&lt;&gt;"",AW$6*$T44/$T$4*VLOOKUP($M44,CÁRNICOS!$CD$13:$CJ$48,5,FALSE),AW$5*$T44/$T$4*$AS$1)</f>
        <v>0</v>
      </c>
      <c r="AX44" s="120">
        <f>IF($H44&lt;&gt;"",0,SUM(AS44:AW44))</f>
        <v>0.32400000000000001</v>
      </c>
      <c r="AY44" s="149">
        <f>+ROUNDUP(AX44/AY$4,0)</f>
        <v>1</v>
      </c>
      <c r="AZ44" s="120">
        <f>+IF(AX44*AY44=0,0,(ROUNDUP(AX44/AY44,3)))</f>
        <v>0.32400000000000001</v>
      </c>
      <c r="BA44" s="2">
        <f>+IF($D44&lt;&gt;"",BA$6*$P44/$T$4*VLOOKUP($M44,CÁRNICOS!$CD$13:$CJ$48,6,FALSE),BA$5*$P44/$T$4*$BA$1)</f>
        <v>0</v>
      </c>
      <c r="BB44" s="2">
        <f>+IF($D44&lt;&gt;"",BB$6*$Q44/$T$4*VLOOKUP($M44,CÁRNICOS!$CD$13:$CJ$48,6,FALSE),BB$5*$Q44/$T$4*$BA$1)</f>
        <v>0</v>
      </c>
      <c r="BC44" s="2">
        <f>+IF($D44&lt;&gt;"",BC$6*$R44/$T$4*VLOOKUP($M44,CÁRNICOS!$CD$13:$CJ$48,6,FALSE),BC$5*$R44/$T$4*$BA$1)</f>
        <v>0</v>
      </c>
      <c r="BD44" s="2">
        <f>+IF($D44&lt;&gt;"",BD$6*$S44/$T$4*VLOOKUP($M44,CÁRNICOS!$CD$13:$CJ$48,6,FALSE),BD$5*$S44/$T$4*$BA$1)</f>
        <v>0</v>
      </c>
      <c r="BE44" s="2">
        <f>+IF($D44&lt;&gt;"",BE$6*$T44/$T$4*VLOOKUP($M44,CÁRNICOS!$CD$13:$CJ$48,6,FALSE),BE$5*$T44/$T$4*$BA$1)</f>
        <v>0</v>
      </c>
      <c r="BF44" s="120">
        <f t="shared" si="32"/>
        <v>0</v>
      </c>
      <c r="BG44" s="149">
        <f t="shared" si="33"/>
        <v>0</v>
      </c>
      <c r="BH44" s="120">
        <f t="shared" si="34"/>
        <v>0</v>
      </c>
      <c r="BI44" s="2">
        <f>+IF($D44&lt;&gt;"",BI$6*$P44/$T$4*VLOOKUP($M44,CÁRNICOS!$CD$13:$CJ$48,7,FALSE),BI$5*$P44/$T$4*$BI$1)</f>
        <v>0</v>
      </c>
      <c r="BJ44" s="2">
        <f>+IF($D44&lt;&gt;"",BJ$6*$Q44/$T$4*VLOOKUP($M44,CÁRNICOS!$CD$13:$CJ$48,7,FALSE),BJ$5*$Q44/$T$4*$BI$1)</f>
        <v>0</v>
      </c>
      <c r="BK44" s="2">
        <f>+IF($D44&lt;&gt;"",BK$6*$R44/$T$4*VLOOKUP($M44,CÁRNICOS!$CD$13:$CJ$48,7,FALSE),BK$5*$R44/$T$4*$BI$1)</f>
        <v>0</v>
      </c>
      <c r="BL44" s="2">
        <f>+IF($D44&lt;&gt;"",BL$6*$S44/$T$4*VLOOKUP($M44,CÁRNICOS!$CD$13:$CJ$48,7,FALSE),BL$5*$S44/$T$4*$BI$1)</f>
        <v>0</v>
      </c>
      <c r="BM44" s="2">
        <f>+IF($D44&lt;&gt;"",BM$6*$T44/$T$4*VLOOKUP($M44,CÁRNICOS!$CD$13:$CJ$48,7,FALSE),BM$5*$T44/$T$4*$BI$1)</f>
        <v>0</v>
      </c>
      <c r="BN44" s="120">
        <f t="shared" si="35"/>
        <v>0</v>
      </c>
      <c r="BO44" s="149">
        <f t="shared" si="16"/>
        <v>0</v>
      </c>
      <c r="BP44" s="120">
        <f t="shared" si="17"/>
        <v>0</v>
      </c>
      <c r="BR44" s="74">
        <f t="shared" si="6"/>
        <v>5</v>
      </c>
      <c r="BS44" s="74" t="str">
        <f t="shared" si="7"/>
        <v>PÁCORA</v>
      </c>
      <c r="BT44" s="74" t="str">
        <f t="shared" si="8"/>
        <v>INSTITUCION EDUCATIVA LAS COLES</v>
      </c>
      <c r="BU44" s="74" t="str">
        <f t="shared" si="9"/>
        <v>ESCUELA RURAL EL CONGO</v>
      </c>
      <c r="BV44" s="74">
        <f t="shared" si="10"/>
        <v>0</v>
      </c>
      <c r="BW44" s="74">
        <f t="shared" si="11"/>
        <v>0</v>
      </c>
      <c r="BX44" s="74">
        <f t="shared" si="12"/>
        <v>0</v>
      </c>
      <c r="BY44" s="74">
        <f t="shared" si="13"/>
        <v>0.32400000000000001</v>
      </c>
      <c r="BZ44" s="74">
        <f t="shared" si="14"/>
        <v>0</v>
      </c>
      <c r="CA44" s="74">
        <f t="shared" si="15"/>
        <v>0</v>
      </c>
      <c r="CD44" s="135" t="str">
        <f>+CONSOLIDADO!C42</f>
        <v>RIOSUCIO DIF</v>
      </c>
      <c r="CE44" s="136">
        <f>+CE$10</f>
        <v>0</v>
      </c>
      <c r="CF44" s="136">
        <f t="shared" ref="CF44:CJ44" si="36">+CF$10</f>
        <v>0</v>
      </c>
      <c r="CG44" s="136">
        <f t="shared" si="36"/>
        <v>0</v>
      </c>
      <c r="CH44" s="136">
        <f t="shared" si="36"/>
        <v>1</v>
      </c>
      <c r="CI44" s="136">
        <f t="shared" si="36"/>
        <v>0</v>
      </c>
      <c r="CJ44" s="136">
        <f t="shared" si="36"/>
        <v>0</v>
      </c>
    </row>
    <row r="45" spans="2:88" ht="29.95" customHeight="1" x14ac:dyDescent="0.3">
      <c r="B45" s="46">
        <f>+COUNTIF($M$8:M45,M45)</f>
        <v>1</v>
      </c>
      <c r="C45" s="14">
        <f>SUM(P45:T45)</f>
        <v>111</v>
      </c>
      <c r="D45" s="22" t="s">
        <v>73</v>
      </c>
      <c r="E45" s="124"/>
      <c r="F45" s="60"/>
      <c r="G45" s="60"/>
      <c r="H45" s="60"/>
      <c r="I45" s="60"/>
      <c r="J45" s="60"/>
      <c r="K45" s="59"/>
      <c r="L45" s="122" t="s">
        <v>154</v>
      </c>
      <c r="M45" s="164" t="s">
        <v>15</v>
      </c>
      <c r="N45" s="164" t="s">
        <v>213</v>
      </c>
      <c r="O45" s="165" t="s">
        <v>214</v>
      </c>
      <c r="P45" s="166">
        <v>2</v>
      </c>
      <c r="Q45" s="166">
        <v>109</v>
      </c>
      <c r="R45" s="167">
        <v>0</v>
      </c>
      <c r="S45" s="74">
        <v>0</v>
      </c>
      <c r="T45" s="74">
        <v>0</v>
      </c>
      <c r="U45" s="2">
        <f>+IF($D45&lt;&gt;"",U$6*$P45/$T$4*VLOOKUP($M45,CÁRNICOS!$CD$13:$CJ$48,2,FALSE),U$5*$P45/$T$4*$U$1)</f>
        <v>0</v>
      </c>
      <c r="V45" s="2">
        <f>+IF($D45&lt;&gt;"",V$6*$Q45/$T$4*VLOOKUP($M45,CÁRNICOS!$CD$13:$CJ$48,2,FALSE),V$5*$Q45/$T$4*$U$1)</f>
        <v>0</v>
      </c>
      <c r="W45" s="2">
        <f>+IF($D45&lt;&gt;"",W$6*$R45/$T$4*VLOOKUP($M45,CÁRNICOS!$CD$13:$CJ$48,2,FALSE),W$5*$R45/$T$4*$U$1)</f>
        <v>0</v>
      </c>
      <c r="X45" s="2">
        <f>+IF($D45&lt;&gt;"",X$6*$S45/$T$4*VLOOKUP($M45,CÁRNICOS!$CD$13:$CJ$48,2,FALSE),X$5*$S45/$T$4*$U$1)</f>
        <v>0</v>
      </c>
      <c r="Y45" s="2">
        <f>+IF($D45&lt;&gt;"",Y$6*$T45/$T$4*VLOOKUP($M45,CÁRNICOS!$CD$13:$CJ$48,2,FALSE),Y$5*$T45/$T$4*$U$1)</f>
        <v>0</v>
      </c>
      <c r="Z45" s="146">
        <f>IF($E45&lt;&gt;"",0,SUM(U45:Y45))</f>
        <v>0</v>
      </c>
      <c r="AA45" s="149">
        <f>+ROUNDUP(Z45/AA$4,0)</f>
        <v>0</v>
      </c>
      <c r="AB45" s="120">
        <f>+IF(Z45*AA45=0,0,(ROUNDUP(Z45/AA45,3)))</f>
        <v>0</v>
      </c>
      <c r="AC45" s="147">
        <f>+IF($D45&lt;&gt;"",AC$6*$P45/$T$4*VLOOKUP($M45,CÁRNICOS!$CD$13:$CJ$48,3,FALSE),AC$5*$P45/$T$4*$AC$1)</f>
        <v>0</v>
      </c>
      <c r="AD45" s="147">
        <f>+IF($D45&lt;&gt;"",AD$6*$Q45/$T$4*VLOOKUP($M45,CÁRNICOS!$CD$13:$CJ$48,3,FALSE),AD$5*$Q45/$T$4*$AC$1)</f>
        <v>0</v>
      </c>
      <c r="AE45" s="2">
        <f>+IF($D45&lt;&gt;"",AE$6*$R45/$T$4*VLOOKUP($M45,CÁRNICOS!$CD$13:$CJ$48,3,FALSE),AE$5*$R45/$T$4*$AC$1)</f>
        <v>0</v>
      </c>
      <c r="AF45" s="2">
        <f>+IF($D45&lt;&gt;"",AF$6*$S45/$T$4*VLOOKUP($M45,CÁRNICOS!$CD$13:$CJ$48,3,FALSE),AF$5*$S45/$T$4*$AC$1)</f>
        <v>0</v>
      </c>
      <c r="AG45" s="2">
        <f>+IF($D45&lt;&gt;"",AG$6*$T45/$T$4*VLOOKUP($M45,CÁRNICOS!$CD$13:$CJ$48,3,FALSE),AG$5*$T45/$T$4*$AC$1)</f>
        <v>0</v>
      </c>
      <c r="AH45" s="120">
        <f>IF($F45&lt;&gt;"",0,SUM(AC45:AG45))</f>
        <v>0</v>
      </c>
      <c r="AI45" s="149">
        <f>+ROUNDUP(AH45/AI$4,0)</f>
        <v>0</v>
      </c>
      <c r="AJ45" s="120">
        <f>+IF(AH45*AI45=0,0,(ROUNDUP(AH45/AI45,3)))</f>
        <v>0</v>
      </c>
      <c r="AK45" s="2">
        <f>+IF($D45&lt;&gt;"",AK$6*$P45/$T$4*VLOOKUP($M45,CÁRNICOS!$CD$13:$CJ$48,4,FALSE),AK$5*$P45/$T$4*$AK$1)</f>
        <v>0</v>
      </c>
      <c r="AL45" s="2">
        <f>+IF($D45&lt;&gt;"",AL$6*$Q45/$T$4*VLOOKUP($M45,CÁRNICOS!$CD$13:$CJ$48,4,FALSE),AL$5*$Q45/$T$4*$AK$1)</f>
        <v>0</v>
      </c>
      <c r="AM45" s="2">
        <f>+IF($D45&lt;&gt;"",AM$6*$R45/$T$4*VLOOKUP($M45,CÁRNICOS!$CD$13:$CJ$48,4,FALSE),AM$5*$R45/$T$4*$AK$1)</f>
        <v>0</v>
      </c>
      <c r="AN45" s="2">
        <f>+IF($D45&lt;&gt;"",AN$6*$S45/$T$4*VLOOKUP($M45,CÁRNICOS!$CD$13:$CJ$48,4,FALSE),AN$5*$S45/$T$4*$AK$1)</f>
        <v>0</v>
      </c>
      <c r="AO45" s="2">
        <f>+IF($D45&lt;&gt;"",AO$6*$T45/$T$4*VLOOKUP($M45,CÁRNICOS!$CD$13:$CJ$48,4,FALSE),AO$5*$T45/$T$4*$AK$1)</f>
        <v>0</v>
      </c>
      <c r="AP45" s="120">
        <f>IF($G45&lt;&gt;"",0,SUM(AK45:AO45))</f>
        <v>0</v>
      </c>
      <c r="AQ45" s="149">
        <f>+ROUNDUP(AP45/AQ$4,0)</f>
        <v>0</v>
      </c>
      <c r="AR45" s="120">
        <f>+IF(AP45*AQ45=0,0,(ROUNDUP(AP45/AQ45,3)))</f>
        <v>0</v>
      </c>
      <c r="AS45" s="2">
        <f>+IF($D45&lt;&gt;"",AS$6*$P45/$T$4*VLOOKUP($M45,CÁRNICOS!$CD$13:$CJ$48,5,FALSE),AS$5*$P45/$T$4*$AS$1)</f>
        <v>0.108</v>
      </c>
      <c r="AT45" s="2">
        <f>+IF($D45&lt;&gt;"",AT$6*$Q45/$T$4*VLOOKUP($M45,CÁRNICOS!$CD$13:$CJ$48,5,FALSE),AT$5*$Q45/$T$4*$AS$1)</f>
        <v>5.8860000000000001</v>
      </c>
      <c r="AU45" s="2">
        <f>+IF($D45&lt;&gt;"",AU$6*$R45/$T$4*VLOOKUP($M45,CÁRNICOS!$CD$13:$CJ$48,5,FALSE),AU$5*$R45/$T$4*$AS$1)</f>
        <v>0</v>
      </c>
      <c r="AV45" s="2">
        <f>+IF($D45&lt;&gt;"",AV$6*$S45/$T$4*VLOOKUP($M45,CÁRNICOS!$CD$13:$CJ$48,5,FALSE),AV$5*$S45/$T$4*$AS$1)</f>
        <v>0</v>
      </c>
      <c r="AW45" s="2">
        <f>+IF($D45&lt;&gt;"",AW$6*$T45/$T$4*VLOOKUP($M45,CÁRNICOS!$CD$13:$CJ$48,5,FALSE),AW$5*$T45/$T$4*$AS$1)</f>
        <v>0</v>
      </c>
      <c r="AX45" s="120">
        <f>IF($H45&lt;&gt;"",0,SUM(AS45:AW45))</f>
        <v>5.9939999999999998</v>
      </c>
      <c r="AY45" s="149">
        <f>+ROUNDUP(AX45/AY$4,0)</f>
        <v>1</v>
      </c>
      <c r="AZ45" s="120">
        <f>+IF(AX45*AY45=0,0,(ROUNDUP(AX45/AY45,3)))</f>
        <v>5.9939999999999998</v>
      </c>
      <c r="BA45" s="2">
        <f>+IF($D45&lt;&gt;"",BA$6*$P45/$T$4*VLOOKUP($M45,CÁRNICOS!$CD$13:$CJ$48,6,FALSE),BA$5*$P45/$T$4*$BA$1)</f>
        <v>0</v>
      </c>
      <c r="BB45" s="2">
        <f>+IF($D45&lt;&gt;"",BB$6*$Q45/$T$4*VLOOKUP($M45,CÁRNICOS!$CD$13:$CJ$48,6,FALSE),BB$5*$Q45/$T$4*$BA$1)</f>
        <v>0</v>
      </c>
      <c r="BC45" s="2">
        <f>+IF($D45&lt;&gt;"",BC$6*$R45/$T$4*VLOOKUP($M45,CÁRNICOS!$CD$13:$CJ$48,6,FALSE),BC$5*$R45/$T$4*$BA$1)</f>
        <v>0</v>
      </c>
      <c r="BD45" s="2">
        <f>+IF($D45&lt;&gt;"",BD$6*$S45/$T$4*VLOOKUP($M45,CÁRNICOS!$CD$13:$CJ$48,6,FALSE),BD$5*$S45/$T$4*$BA$1)</f>
        <v>0</v>
      </c>
      <c r="BE45" s="2">
        <f>+IF($D45&lt;&gt;"",BE$6*$T45/$T$4*VLOOKUP($M45,CÁRNICOS!$CD$13:$CJ$48,6,FALSE),BE$5*$T45/$T$4*$BA$1)</f>
        <v>0</v>
      </c>
      <c r="BF45" s="120">
        <f t="shared" si="32"/>
        <v>0</v>
      </c>
      <c r="BG45" s="149">
        <f t="shared" si="33"/>
        <v>0</v>
      </c>
      <c r="BH45" s="120">
        <f t="shared" si="34"/>
        <v>0</v>
      </c>
      <c r="BI45" s="2">
        <f>+IF($D45&lt;&gt;"",BI$6*$P45/$T$4*VLOOKUP($M45,CÁRNICOS!$CD$13:$CJ$48,7,FALSE),BI$5*$P45/$T$4*$BI$1)</f>
        <v>0</v>
      </c>
      <c r="BJ45" s="2">
        <f>+IF($D45&lt;&gt;"",BJ$6*$Q45/$T$4*VLOOKUP($M45,CÁRNICOS!$CD$13:$CJ$48,7,FALSE),BJ$5*$Q45/$T$4*$BI$1)</f>
        <v>0</v>
      </c>
      <c r="BK45" s="2">
        <f>+IF($D45&lt;&gt;"",BK$6*$R45/$T$4*VLOOKUP($M45,CÁRNICOS!$CD$13:$CJ$48,7,FALSE),BK$5*$R45/$T$4*$BI$1)</f>
        <v>0</v>
      </c>
      <c r="BL45" s="2">
        <f>+IF($D45&lt;&gt;"",BL$6*$S45/$T$4*VLOOKUP($M45,CÁRNICOS!$CD$13:$CJ$48,7,FALSE),BL$5*$S45/$T$4*$BI$1)</f>
        <v>0</v>
      </c>
      <c r="BM45" s="2">
        <f>+IF($D45&lt;&gt;"",BM$6*$T45/$T$4*VLOOKUP($M45,CÁRNICOS!$CD$13:$CJ$48,7,FALSE),BM$5*$T45/$T$4*$BI$1)</f>
        <v>0</v>
      </c>
      <c r="BN45" s="120">
        <f t="shared" si="35"/>
        <v>0</v>
      </c>
      <c r="BO45" s="149">
        <f t="shared" si="16"/>
        <v>0</v>
      </c>
      <c r="BP45" s="120">
        <f t="shared" si="17"/>
        <v>0</v>
      </c>
      <c r="BR45" s="74" t="str">
        <f t="shared" si="6"/>
        <v>1C</v>
      </c>
      <c r="BS45" s="74" t="str">
        <f t="shared" si="7"/>
        <v>PALESTINA</v>
      </c>
      <c r="BT45" s="74" t="str">
        <f t="shared" si="8"/>
        <v>INSTITUCION EDUCATIVA LA SAGRADA FAMILIA</v>
      </c>
      <c r="BU45" s="74" t="str">
        <f t="shared" si="9"/>
        <v>CENTRO EDUCATIVO ANTONIO NARIÑO</v>
      </c>
      <c r="BV45" s="74">
        <f t="shared" si="10"/>
        <v>0</v>
      </c>
      <c r="BW45" s="74">
        <f t="shared" si="11"/>
        <v>0</v>
      </c>
      <c r="BX45" s="74">
        <f t="shared" si="12"/>
        <v>0</v>
      </c>
      <c r="BY45" s="74">
        <f t="shared" si="13"/>
        <v>5.9939999999999998</v>
      </c>
      <c r="BZ45" s="74">
        <f t="shared" si="14"/>
        <v>0</v>
      </c>
      <c r="CA45" s="74">
        <f t="shared" si="15"/>
        <v>0</v>
      </c>
      <c r="CD45" s="135" t="str">
        <f>+CONSOLIDADO!C43</f>
        <v>RIOSUCIO</v>
      </c>
      <c r="CE45" s="136">
        <f t="shared" si="31"/>
        <v>0</v>
      </c>
      <c r="CF45" s="136">
        <f t="shared" si="31"/>
        <v>0</v>
      </c>
      <c r="CG45" s="136">
        <f t="shared" si="31"/>
        <v>0</v>
      </c>
      <c r="CH45" s="136">
        <f t="shared" si="31"/>
        <v>1</v>
      </c>
      <c r="CI45" s="136">
        <f t="shared" si="31"/>
        <v>0</v>
      </c>
      <c r="CJ45" s="136">
        <f t="shared" si="31"/>
        <v>0</v>
      </c>
    </row>
    <row r="46" spans="2:88" ht="29.95" customHeight="1" x14ac:dyDescent="0.3">
      <c r="B46" s="46">
        <f>+B45+1</f>
        <v>2</v>
      </c>
      <c r="C46" s="14">
        <f>SUM(P46:T46)</f>
        <v>56</v>
      </c>
      <c r="D46" s="22" t="s">
        <v>73</v>
      </c>
      <c r="E46" s="124"/>
      <c r="F46" s="60"/>
      <c r="G46" s="60"/>
      <c r="H46" s="60"/>
      <c r="I46" s="60"/>
      <c r="J46" s="60"/>
      <c r="K46" s="59"/>
      <c r="L46" s="122" t="s">
        <v>154</v>
      </c>
      <c r="M46" s="164" t="s">
        <v>15</v>
      </c>
      <c r="N46" s="164" t="s">
        <v>215</v>
      </c>
      <c r="O46" s="165" t="s">
        <v>216</v>
      </c>
      <c r="P46" s="166">
        <v>0</v>
      </c>
      <c r="Q46" s="166">
        <v>56</v>
      </c>
      <c r="R46" s="167">
        <v>0</v>
      </c>
      <c r="S46" s="74">
        <v>0</v>
      </c>
      <c r="T46" s="74">
        <v>0</v>
      </c>
      <c r="U46" s="2">
        <f>+IF($D46&lt;&gt;"",U$6*$P46/$T$4*VLOOKUP($M46,CÁRNICOS!$CD$13:$CJ$48,2,FALSE),U$5*$P46/$T$4*$U$1)</f>
        <v>0</v>
      </c>
      <c r="V46" s="2">
        <f>+IF($D46&lt;&gt;"",V$6*$Q46/$T$4*VLOOKUP($M46,CÁRNICOS!$CD$13:$CJ$48,2,FALSE),V$5*$Q46/$T$4*$U$1)</f>
        <v>0</v>
      </c>
      <c r="W46" s="2">
        <f>+IF($D46&lt;&gt;"",W$6*$R46/$T$4*VLOOKUP($M46,CÁRNICOS!$CD$13:$CJ$48,2,FALSE),W$5*$R46/$T$4*$U$1)</f>
        <v>0</v>
      </c>
      <c r="X46" s="2">
        <f>+IF($D46&lt;&gt;"",X$6*$S46/$T$4*VLOOKUP($M46,CÁRNICOS!$CD$13:$CJ$48,2,FALSE),X$5*$S46/$T$4*$U$1)</f>
        <v>0</v>
      </c>
      <c r="Y46" s="2">
        <f>+IF($D46&lt;&gt;"",Y$6*$T46/$T$4*VLOOKUP($M46,CÁRNICOS!$CD$13:$CJ$48,2,FALSE),Y$5*$T46/$T$4*$U$1)</f>
        <v>0</v>
      </c>
      <c r="Z46" s="146">
        <f>IF($E46&lt;&gt;"",0,SUM(U46:Y46))</f>
        <v>0</v>
      </c>
      <c r="AA46" s="149">
        <f>+ROUNDUP(Z46/AA$4,0)</f>
        <v>0</v>
      </c>
      <c r="AB46" s="120">
        <f>+IF(Z46*AA46=0,0,(ROUNDUP(Z46/AA46,3)))</f>
        <v>0</v>
      </c>
      <c r="AC46" s="147">
        <f>+IF($D46&lt;&gt;"",AC$6*$P46/$T$4*VLOOKUP($M46,CÁRNICOS!$CD$13:$CJ$48,3,FALSE),AC$5*$P46/$T$4*$AC$1)</f>
        <v>0</v>
      </c>
      <c r="AD46" s="147">
        <f>+IF($D46&lt;&gt;"",AD$6*$Q46/$T$4*VLOOKUP($M46,CÁRNICOS!$CD$13:$CJ$48,3,FALSE),AD$5*$Q46/$T$4*$AC$1)</f>
        <v>0</v>
      </c>
      <c r="AE46" s="2">
        <f>+IF($D46&lt;&gt;"",AE$6*$R46/$T$4*VLOOKUP($M46,CÁRNICOS!$CD$13:$CJ$48,3,FALSE),AE$5*$R46/$T$4*$AC$1)</f>
        <v>0</v>
      </c>
      <c r="AF46" s="2">
        <f>+IF($D46&lt;&gt;"",AF$6*$S46/$T$4*VLOOKUP($M46,CÁRNICOS!$CD$13:$CJ$48,3,FALSE),AF$5*$S46/$T$4*$AC$1)</f>
        <v>0</v>
      </c>
      <c r="AG46" s="2">
        <f>+IF($D46&lt;&gt;"",AG$6*$T46/$T$4*VLOOKUP($M46,CÁRNICOS!$CD$13:$CJ$48,3,FALSE),AG$5*$T46/$T$4*$AC$1)</f>
        <v>0</v>
      </c>
      <c r="AH46" s="120">
        <f>IF($F46&lt;&gt;"",0,SUM(AC46:AG46))</f>
        <v>0</v>
      </c>
      <c r="AI46" s="149">
        <f>+ROUNDUP(AH46/AI$4,0)</f>
        <v>0</v>
      </c>
      <c r="AJ46" s="120">
        <f>+IF(AH46*AI46=0,0,(ROUNDUP(AH46/AI46,3)))</f>
        <v>0</v>
      </c>
      <c r="AK46" s="2">
        <f>+IF($D46&lt;&gt;"",AK$6*$P46/$T$4*VLOOKUP($M46,CÁRNICOS!$CD$13:$CJ$48,4,FALSE),AK$5*$P46/$T$4*$AK$1)</f>
        <v>0</v>
      </c>
      <c r="AL46" s="2">
        <f>+IF($D46&lt;&gt;"",AL$6*$Q46/$T$4*VLOOKUP($M46,CÁRNICOS!$CD$13:$CJ$48,4,FALSE),AL$5*$Q46/$T$4*$AK$1)</f>
        <v>0</v>
      </c>
      <c r="AM46" s="2">
        <f>+IF($D46&lt;&gt;"",AM$6*$R46/$T$4*VLOOKUP($M46,CÁRNICOS!$CD$13:$CJ$48,4,FALSE),AM$5*$R46/$T$4*$AK$1)</f>
        <v>0</v>
      </c>
      <c r="AN46" s="2">
        <f>+IF($D46&lt;&gt;"",AN$6*$S46/$T$4*VLOOKUP($M46,CÁRNICOS!$CD$13:$CJ$48,4,FALSE),AN$5*$S46/$T$4*$AK$1)</f>
        <v>0</v>
      </c>
      <c r="AO46" s="2">
        <f>+IF($D46&lt;&gt;"",AO$6*$T46/$T$4*VLOOKUP($M46,CÁRNICOS!$CD$13:$CJ$48,4,FALSE),AO$5*$T46/$T$4*$AK$1)</f>
        <v>0</v>
      </c>
      <c r="AP46" s="120">
        <f>IF($G46&lt;&gt;"",0,SUM(AK46:AO46))</f>
        <v>0</v>
      </c>
      <c r="AQ46" s="149">
        <f>+ROUNDUP(AP46/AQ$4,0)</f>
        <v>0</v>
      </c>
      <c r="AR46" s="120">
        <f>+IF(AP46*AQ46=0,0,(ROUNDUP(AP46/AQ46,3)))</f>
        <v>0</v>
      </c>
      <c r="AS46" s="2">
        <f>+IF($D46&lt;&gt;"",AS$6*$P46/$T$4*VLOOKUP($M46,CÁRNICOS!$CD$13:$CJ$48,5,FALSE),AS$5*$P46/$T$4*$AS$1)</f>
        <v>0</v>
      </c>
      <c r="AT46" s="2">
        <f>+IF($D46&lt;&gt;"",AT$6*$Q46/$T$4*VLOOKUP($M46,CÁRNICOS!$CD$13:$CJ$48,5,FALSE),AT$5*$Q46/$T$4*$AS$1)</f>
        <v>3.024</v>
      </c>
      <c r="AU46" s="2">
        <f>+IF($D46&lt;&gt;"",AU$6*$R46/$T$4*VLOOKUP($M46,CÁRNICOS!$CD$13:$CJ$48,5,FALSE),AU$5*$R46/$T$4*$AS$1)</f>
        <v>0</v>
      </c>
      <c r="AV46" s="2">
        <f>+IF($D46&lt;&gt;"",AV$6*$S46/$T$4*VLOOKUP($M46,CÁRNICOS!$CD$13:$CJ$48,5,FALSE),AV$5*$S46/$T$4*$AS$1)</f>
        <v>0</v>
      </c>
      <c r="AW46" s="2">
        <f>+IF($D46&lt;&gt;"",AW$6*$T46/$T$4*VLOOKUP($M46,CÁRNICOS!$CD$13:$CJ$48,5,FALSE),AW$5*$T46/$T$4*$AS$1)</f>
        <v>0</v>
      </c>
      <c r="AX46" s="120">
        <f>IF($H46&lt;&gt;"",0,SUM(AS46:AW46))</f>
        <v>3.024</v>
      </c>
      <c r="AY46" s="149">
        <f>+ROUNDUP(AX46/AY$4,0)</f>
        <v>1</v>
      </c>
      <c r="AZ46" s="120">
        <f>+IF(AX46*AY46=0,0,(ROUNDUP(AX46/AY46,3)))</f>
        <v>3.024</v>
      </c>
      <c r="BA46" s="2">
        <f>+IF($D46&lt;&gt;"",BA$6*$P46/$T$4*VLOOKUP($M46,CÁRNICOS!$CD$13:$CJ$48,6,FALSE),BA$5*$P46/$T$4*$BA$1)</f>
        <v>0</v>
      </c>
      <c r="BB46" s="2">
        <f>+IF($D46&lt;&gt;"",BB$6*$Q46/$T$4*VLOOKUP($M46,CÁRNICOS!$CD$13:$CJ$48,6,FALSE),BB$5*$Q46/$T$4*$BA$1)</f>
        <v>0</v>
      </c>
      <c r="BC46" s="2">
        <f>+IF($D46&lt;&gt;"",BC$6*$R46/$T$4*VLOOKUP($M46,CÁRNICOS!$CD$13:$CJ$48,6,FALSE),BC$5*$R46/$T$4*$BA$1)</f>
        <v>0</v>
      </c>
      <c r="BD46" s="2">
        <f>+IF($D46&lt;&gt;"",BD$6*$S46/$T$4*VLOOKUP($M46,CÁRNICOS!$CD$13:$CJ$48,6,FALSE),BD$5*$S46/$T$4*$BA$1)</f>
        <v>0</v>
      </c>
      <c r="BE46" s="2">
        <f>+IF($D46&lt;&gt;"",BE$6*$T46/$T$4*VLOOKUP($M46,CÁRNICOS!$CD$13:$CJ$48,6,FALSE),BE$5*$T46/$T$4*$BA$1)</f>
        <v>0</v>
      </c>
      <c r="BF46" s="120">
        <f t="shared" si="32"/>
        <v>0</v>
      </c>
      <c r="BG46" s="149">
        <f t="shared" si="33"/>
        <v>0</v>
      </c>
      <c r="BH46" s="120">
        <f t="shared" si="34"/>
        <v>0</v>
      </c>
      <c r="BI46" s="2">
        <f>+IF($D46&lt;&gt;"",BI$6*$P46/$T$4*VLOOKUP($M46,CÁRNICOS!$CD$13:$CJ$48,7,FALSE),BI$5*$P46/$T$4*$BI$1)</f>
        <v>0</v>
      </c>
      <c r="BJ46" s="2">
        <f>+IF($D46&lt;&gt;"",BJ$6*$Q46/$T$4*VLOOKUP($M46,CÁRNICOS!$CD$13:$CJ$48,7,FALSE),BJ$5*$Q46/$T$4*$BI$1)</f>
        <v>0</v>
      </c>
      <c r="BK46" s="2">
        <f>+IF($D46&lt;&gt;"",BK$6*$R46/$T$4*VLOOKUP($M46,CÁRNICOS!$CD$13:$CJ$48,7,FALSE),BK$5*$R46/$T$4*$BI$1)</f>
        <v>0</v>
      </c>
      <c r="BL46" s="2">
        <f>+IF($D46&lt;&gt;"",BL$6*$S46/$T$4*VLOOKUP($M46,CÁRNICOS!$CD$13:$CJ$48,7,FALSE),BL$5*$S46/$T$4*$BI$1)</f>
        <v>0</v>
      </c>
      <c r="BM46" s="2">
        <f>+IF($D46&lt;&gt;"",BM$6*$T46/$T$4*VLOOKUP($M46,CÁRNICOS!$CD$13:$CJ$48,7,FALSE),BM$5*$T46/$T$4*$BI$1)</f>
        <v>0</v>
      </c>
      <c r="BN46" s="120">
        <f t="shared" si="35"/>
        <v>0</v>
      </c>
      <c r="BO46" s="149">
        <f t="shared" si="16"/>
        <v>0</v>
      </c>
      <c r="BP46" s="120">
        <f t="shared" si="17"/>
        <v>0</v>
      </c>
      <c r="BR46" s="74" t="str">
        <f t="shared" si="6"/>
        <v>1C</v>
      </c>
      <c r="BS46" s="74" t="str">
        <f t="shared" si="7"/>
        <v>PALESTINA</v>
      </c>
      <c r="BT46" s="74" t="str">
        <f t="shared" si="8"/>
        <v>INSTITUCION EDUCATIVA MONSEÑOR ALFONSO DE LOS RIOS</v>
      </c>
      <c r="BU46" s="74" t="str">
        <f t="shared" si="9"/>
        <v>ESCUELA BERNARDO MEJIA RIVERA</v>
      </c>
      <c r="BV46" s="74">
        <f t="shared" si="10"/>
        <v>0</v>
      </c>
      <c r="BW46" s="74">
        <f t="shared" si="11"/>
        <v>0</v>
      </c>
      <c r="BX46" s="74">
        <f t="shared" si="12"/>
        <v>0</v>
      </c>
      <c r="BY46" s="74">
        <f t="shared" si="13"/>
        <v>3.024</v>
      </c>
      <c r="BZ46" s="74">
        <f t="shared" si="14"/>
        <v>0</v>
      </c>
      <c r="CA46" s="74">
        <f t="shared" si="15"/>
        <v>0</v>
      </c>
      <c r="CD46" s="135" t="str">
        <f>+CONSOLIDADO!C44</f>
        <v>SUPÍA</v>
      </c>
      <c r="CE46" s="136">
        <f t="shared" si="31"/>
        <v>0</v>
      </c>
      <c r="CF46" s="136">
        <f t="shared" si="31"/>
        <v>0</v>
      </c>
      <c r="CG46" s="136">
        <f t="shared" si="31"/>
        <v>0</v>
      </c>
      <c r="CH46" s="136">
        <f t="shared" si="31"/>
        <v>1</v>
      </c>
      <c r="CI46" s="136">
        <f t="shared" si="31"/>
        <v>0</v>
      </c>
      <c r="CJ46" s="136">
        <f t="shared" si="31"/>
        <v>0</v>
      </c>
    </row>
    <row r="47" spans="2:88" ht="29.95" customHeight="1" x14ac:dyDescent="0.3">
      <c r="B47" s="46">
        <f>+B46+1</f>
        <v>3</v>
      </c>
      <c r="C47" s="14">
        <f>SUM(P47:T47)</f>
        <v>27</v>
      </c>
      <c r="D47" s="22" t="s">
        <v>73</v>
      </c>
      <c r="E47" s="124"/>
      <c r="F47" s="60"/>
      <c r="G47" s="60"/>
      <c r="H47" s="60"/>
      <c r="I47" s="60"/>
      <c r="J47" s="60"/>
      <c r="K47" s="59"/>
      <c r="L47" s="122" t="s">
        <v>154</v>
      </c>
      <c r="M47" s="164" t="s">
        <v>15</v>
      </c>
      <c r="N47" s="164" t="s">
        <v>16</v>
      </c>
      <c r="O47" s="165" t="s">
        <v>217</v>
      </c>
      <c r="P47" s="166">
        <v>0</v>
      </c>
      <c r="Q47" s="166">
        <v>20</v>
      </c>
      <c r="R47" s="167">
        <v>0</v>
      </c>
      <c r="S47" s="74">
        <v>7</v>
      </c>
      <c r="T47" s="74">
        <v>0</v>
      </c>
      <c r="U47" s="2">
        <f>+IF($D47&lt;&gt;"",U$6*$P47/$T$4*VLOOKUP($M47,CÁRNICOS!$CD$13:$CJ$48,2,FALSE),U$5*$P47/$T$4*$U$1)</f>
        <v>0</v>
      </c>
      <c r="V47" s="2">
        <f>+IF($D47&lt;&gt;"",V$6*$Q47/$T$4*VLOOKUP($M47,CÁRNICOS!$CD$13:$CJ$48,2,FALSE),V$5*$Q47/$T$4*$U$1)</f>
        <v>0</v>
      </c>
      <c r="W47" s="2">
        <f>+IF($D47&lt;&gt;"",W$6*$R47/$T$4*VLOOKUP($M47,CÁRNICOS!$CD$13:$CJ$48,2,FALSE),W$5*$R47/$T$4*$U$1)</f>
        <v>0</v>
      </c>
      <c r="X47" s="2">
        <f>+IF($D47&lt;&gt;"",X$6*$S47/$T$4*VLOOKUP($M47,CÁRNICOS!$CD$13:$CJ$48,2,FALSE),X$5*$S47/$T$4*$U$1)</f>
        <v>0</v>
      </c>
      <c r="Y47" s="2">
        <f>+IF($D47&lt;&gt;"",Y$6*$T47/$T$4*VLOOKUP($M47,CÁRNICOS!$CD$13:$CJ$48,2,FALSE),Y$5*$T47/$T$4*$U$1)</f>
        <v>0</v>
      </c>
      <c r="Z47" s="146">
        <f>IF($E47&lt;&gt;"",0,SUM(U47:Y47))</f>
        <v>0</v>
      </c>
      <c r="AA47" s="149">
        <f>+ROUNDUP(Z47/AA$4,0)</f>
        <v>0</v>
      </c>
      <c r="AB47" s="120">
        <f>+IF(Z47*AA47=0,0,(ROUNDUP(Z47/AA47,3)))</f>
        <v>0</v>
      </c>
      <c r="AC47" s="147">
        <f>+IF($D47&lt;&gt;"",AC$6*$P47/$T$4*VLOOKUP($M47,CÁRNICOS!$CD$13:$CJ$48,3,FALSE),AC$5*$P47/$T$4*$AC$1)</f>
        <v>0</v>
      </c>
      <c r="AD47" s="147">
        <f>+IF($D47&lt;&gt;"",AD$6*$Q47/$T$4*VLOOKUP($M47,CÁRNICOS!$CD$13:$CJ$48,3,FALSE),AD$5*$Q47/$T$4*$AC$1)</f>
        <v>0</v>
      </c>
      <c r="AE47" s="2">
        <f>+IF($D47&lt;&gt;"",AE$6*$R47/$T$4*VLOOKUP($M47,CÁRNICOS!$CD$13:$CJ$48,3,FALSE),AE$5*$R47/$T$4*$AC$1)</f>
        <v>0</v>
      </c>
      <c r="AF47" s="2">
        <f>+IF($D47&lt;&gt;"",AF$6*$S47/$T$4*VLOOKUP($M47,CÁRNICOS!$CD$13:$CJ$48,3,FALSE),AF$5*$S47/$T$4*$AC$1)</f>
        <v>0</v>
      </c>
      <c r="AG47" s="2">
        <f>+IF($D47&lt;&gt;"",AG$6*$T47/$T$4*VLOOKUP($M47,CÁRNICOS!$CD$13:$CJ$48,3,FALSE),AG$5*$T47/$T$4*$AC$1)</f>
        <v>0</v>
      </c>
      <c r="AH47" s="120">
        <f>IF($F47&lt;&gt;"",0,SUM(AC47:AG47))</f>
        <v>0</v>
      </c>
      <c r="AI47" s="149">
        <f>+ROUNDUP(AH47/AI$4,0)</f>
        <v>0</v>
      </c>
      <c r="AJ47" s="120">
        <f>+IF(AH47*AI47=0,0,(ROUNDUP(AH47/AI47,3)))</f>
        <v>0</v>
      </c>
      <c r="AK47" s="2">
        <f>+IF($D47&lt;&gt;"",AK$6*$P47/$T$4*VLOOKUP($M47,CÁRNICOS!$CD$13:$CJ$48,4,FALSE),AK$5*$P47/$T$4*$AK$1)</f>
        <v>0</v>
      </c>
      <c r="AL47" s="2">
        <f>+IF($D47&lt;&gt;"",AL$6*$Q47/$T$4*VLOOKUP($M47,CÁRNICOS!$CD$13:$CJ$48,4,FALSE),AL$5*$Q47/$T$4*$AK$1)</f>
        <v>0</v>
      </c>
      <c r="AM47" s="2">
        <f>+IF($D47&lt;&gt;"",AM$6*$R47/$T$4*VLOOKUP($M47,CÁRNICOS!$CD$13:$CJ$48,4,FALSE),AM$5*$R47/$T$4*$AK$1)</f>
        <v>0</v>
      </c>
      <c r="AN47" s="2">
        <f>+IF($D47&lt;&gt;"",AN$6*$S47/$T$4*VLOOKUP($M47,CÁRNICOS!$CD$13:$CJ$48,4,FALSE),AN$5*$S47/$T$4*$AK$1)</f>
        <v>0</v>
      </c>
      <c r="AO47" s="2">
        <f>+IF($D47&lt;&gt;"",AO$6*$T47/$T$4*VLOOKUP($M47,CÁRNICOS!$CD$13:$CJ$48,4,FALSE),AO$5*$T47/$T$4*$AK$1)</f>
        <v>0</v>
      </c>
      <c r="AP47" s="120">
        <f>IF($G47&lt;&gt;"",0,SUM(AK47:AO47))</f>
        <v>0</v>
      </c>
      <c r="AQ47" s="149">
        <f>+ROUNDUP(AP47/AQ$4,0)</f>
        <v>0</v>
      </c>
      <c r="AR47" s="120">
        <f>+IF(AP47*AQ47=0,0,(ROUNDUP(AP47/AQ47,3)))</f>
        <v>0</v>
      </c>
      <c r="AS47" s="2">
        <f>+IF($D47&lt;&gt;"",AS$6*$P47/$T$4*VLOOKUP($M47,CÁRNICOS!$CD$13:$CJ$48,5,FALSE),AS$5*$P47/$T$4*$AS$1)</f>
        <v>0</v>
      </c>
      <c r="AT47" s="2">
        <f>+IF($D47&lt;&gt;"",AT$6*$Q47/$T$4*VLOOKUP($M47,CÁRNICOS!$CD$13:$CJ$48,5,FALSE),AT$5*$Q47/$T$4*$AS$1)</f>
        <v>1.08</v>
      </c>
      <c r="AU47" s="2">
        <f>+IF($D47&lt;&gt;"",AU$6*$R47/$T$4*VLOOKUP($M47,CÁRNICOS!$CD$13:$CJ$48,5,FALSE),AU$5*$R47/$T$4*$AS$1)</f>
        <v>0</v>
      </c>
      <c r="AV47" s="2">
        <f>+IF($D47&lt;&gt;"",AV$6*$S47/$T$4*VLOOKUP($M47,CÁRNICOS!$CD$13:$CJ$48,5,FALSE),AV$5*$S47/$T$4*$AS$1)</f>
        <v>0.56000000000000005</v>
      </c>
      <c r="AW47" s="2">
        <f>+IF($D47&lt;&gt;"",AW$6*$T47/$T$4*VLOOKUP($M47,CÁRNICOS!$CD$13:$CJ$48,5,FALSE),AW$5*$T47/$T$4*$AS$1)</f>
        <v>0</v>
      </c>
      <c r="AX47" s="120">
        <f>IF($H47&lt;&gt;"",0,SUM(AS47:AW47))</f>
        <v>1.6400000000000001</v>
      </c>
      <c r="AY47" s="149">
        <f>+ROUNDUP(AX47/AY$4,0)</f>
        <v>1</v>
      </c>
      <c r="AZ47" s="120">
        <f>+IF(AX47*AY47=0,0,(ROUNDUP(AX47/AY47,3)))</f>
        <v>1.64</v>
      </c>
      <c r="BA47" s="2">
        <f>+IF($D47&lt;&gt;"",BA$6*$P47/$T$4*VLOOKUP($M47,CÁRNICOS!$CD$13:$CJ$48,6,FALSE),BA$5*$P47/$T$4*$BA$1)</f>
        <v>0</v>
      </c>
      <c r="BB47" s="2">
        <f>+IF($D47&lt;&gt;"",BB$6*$Q47/$T$4*VLOOKUP($M47,CÁRNICOS!$CD$13:$CJ$48,6,FALSE),BB$5*$Q47/$T$4*$BA$1)</f>
        <v>0</v>
      </c>
      <c r="BC47" s="2">
        <f>+IF($D47&lt;&gt;"",BC$6*$R47/$T$4*VLOOKUP($M47,CÁRNICOS!$CD$13:$CJ$48,6,FALSE),BC$5*$R47/$T$4*$BA$1)</f>
        <v>0</v>
      </c>
      <c r="BD47" s="2">
        <f>+IF($D47&lt;&gt;"",BD$6*$S47/$T$4*VLOOKUP($M47,CÁRNICOS!$CD$13:$CJ$48,6,FALSE),BD$5*$S47/$T$4*$BA$1)</f>
        <v>0</v>
      </c>
      <c r="BE47" s="2">
        <f>+IF($D47&lt;&gt;"",BE$6*$T47/$T$4*VLOOKUP($M47,CÁRNICOS!$CD$13:$CJ$48,6,FALSE),BE$5*$T47/$T$4*$BA$1)</f>
        <v>0</v>
      </c>
      <c r="BF47" s="120">
        <f t="shared" si="32"/>
        <v>0</v>
      </c>
      <c r="BG47" s="149">
        <f t="shared" si="33"/>
        <v>0</v>
      </c>
      <c r="BH47" s="120">
        <f t="shared" si="34"/>
        <v>0</v>
      </c>
      <c r="BI47" s="2">
        <f>+IF($D47&lt;&gt;"",BI$6*$P47/$T$4*VLOOKUP($M47,CÁRNICOS!$CD$13:$CJ$48,7,FALSE),BI$5*$P47/$T$4*$BI$1)</f>
        <v>0</v>
      </c>
      <c r="BJ47" s="2">
        <f>+IF($D47&lt;&gt;"",BJ$6*$Q47/$T$4*VLOOKUP($M47,CÁRNICOS!$CD$13:$CJ$48,7,FALSE),BJ$5*$Q47/$T$4*$BI$1)</f>
        <v>0</v>
      </c>
      <c r="BK47" s="2">
        <f>+IF($D47&lt;&gt;"",BK$6*$R47/$T$4*VLOOKUP($M47,CÁRNICOS!$CD$13:$CJ$48,7,FALSE),BK$5*$R47/$T$4*$BI$1)</f>
        <v>0</v>
      </c>
      <c r="BL47" s="2">
        <f>+IF($D47&lt;&gt;"",BL$6*$S47/$T$4*VLOOKUP($M47,CÁRNICOS!$CD$13:$CJ$48,7,FALSE),BL$5*$S47/$T$4*$BI$1)</f>
        <v>0</v>
      </c>
      <c r="BM47" s="2">
        <f>+IF($D47&lt;&gt;"",BM$6*$T47/$T$4*VLOOKUP($M47,CÁRNICOS!$CD$13:$CJ$48,7,FALSE),BM$5*$T47/$T$4*$BI$1)</f>
        <v>0</v>
      </c>
      <c r="BN47" s="120">
        <f t="shared" si="35"/>
        <v>0</v>
      </c>
      <c r="BO47" s="149">
        <f t="shared" si="16"/>
        <v>0</v>
      </c>
      <c r="BP47" s="120">
        <f t="shared" si="17"/>
        <v>0</v>
      </c>
      <c r="BR47" s="74" t="str">
        <f t="shared" si="6"/>
        <v>1C</v>
      </c>
      <c r="BS47" s="74" t="str">
        <f t="shared" si="7"/>
        <v>PALESTINA</v>
      </c>
      <c r="BT47" s="74" t="str">
        <f t="shared" si="8"/>
        <v>INSTITUCION EDUCATIVA SANTAGUEDA</v>
      </c>
      <c r="BU47" s="74" t="str">
        <f t="shared" si="9"/>
        <v>INSTITUCION EDUCATIVA SANTAGUEDA - SEDE PRINCIPAL</v>
      </c>
      <c r="BV47" s="74">
        <f t="shared" si="10"/>
        <v>0</v>
      </c>
      <c r="BW47" s="74">
        <f t="shared" si="11"/>
        <v>0</v>
      </c>
      <c r="BX47" s="74">
        <f t="shared" si="12"/>
        <v>0</v>
      </c>
      <c r="BY47" s="74">
        <f t="shared" si="13"/>
        <v>1.6400000000000001</v>
      </c>
      <c r="BZ47" s="74">
        <f t="shared" si="14"/>
        <v>0</v>
      </c>
      <c r="CA47" s="74">
        <f t="shared" si="15"/>
        <v>0</v>
      </c>
      <c r="CD47" s="135" t="str">
        <f>+CONSOLIDADO!C45</f>
        <v>TOTAL MÓDULO III</v>
      </c>
      <c r="CE47" s="136">
        <f t="shared" si="31"/>
        <v>0</v>
      </c>
      <c r="CF47" s="136">
        <f t="shared" si="31"/>
        <v>0</v>
      </c>
      <c r="CG47" s="136">
        <f t="shared" si="31"/>
        <v>0</v>
      </c>
      <c r="CH47" s="136">
        <f t="shared" si="31"/>
        <v>1</v>
      </c>
      <c r="CI47" s="136">
        <f t="shared" si="31"/>
        <v>0</v>
      </c>
      <c r="CJ47" s="136">
        <f t="shared" si="31"/>
        <v>0</v>
      </c>
    </row>
    <row r="48" spans="2:88" ht="29.95" customHeight="1" x14ac:dyDescent="0.3">
      <c r="B48" s="46">
        <f>+B47+1</f>
        <v>4</v>
      </c>
      <c r="C48" s="14">
        <f>SUM(P48:T48)</f>
        <v>20</v>
      </c>
      <c r="D48" s="22" t="s">
        <v>73</v>
      </c>
      <c r="E48" s="124"/>
      <c r="F48" s="60"/>
      <c r="G48" s="60"/>
      <c r="H48" s="60"/>
      <c r="I48" s="60"/>
      <c r="J48" s="60"/>
      <c r="K48" s="59"/>
      <c r="L48" s="122">
        <v>1</v>
      </c>
      <c r="M48" s="162" t="s">
        <v>14</v>
      </c>
      <c r="N48" s="162" t="s">
        <v>220</v>
      </c>
      <c r="O48" s="163" t="s">
        <v>221</v>
      </c>
      <c r="P48" s="74">
        <v>0</v>
      </c>
      <c r="Q48" s="74">
        <v>20</v>
      </c>
      <c r="R48" s="139">
        <v>0</v>
      </c>
      <c r="S48" s="74">
        <v>0</v>
      </c>
      <c r="T48" s="74">
        <v>0</v>
      </c>
      <c r="U48" s="2">
        <f>+IF($D48&lt;&gt;"",U$6*$P48/$T$4*VLOOKUP($M48,CÁRNICOS!$CD$13:$CJ$48,2,FALSE),U$5*$P48/$T$4*$U$1)</f>
        <v>0</v>
      </c>
      <c r="V48" s="2">
        <f>+IF($D48&lt;&gt;"",V$6*$Q48/$T$4*VLOOKUP($M48,CÁRNICOS!$CD$13:$CJ$48,2,FALSE),V$5*$Q48/$T$4*$U$1)</f>
        <v>0</v>
      </c>
      <c r="W48" s="2">
        <f>+IF($D48&lt;&gt;"",W$6*$R48/$T$4*VLOOKUP($M48,CÁRNICOS!$CD$13:$CJ$48,2,FALSE),W$5*$R48/$T$4*$U$1)</f>
        <v>0</v>
      </c>
      <c r="X48" s="2">
        <f>+IF($D48&lt;&gt;"",X$6*$S48/$T$4*VLOOKUP($M48,CÁRNICOS!$CD$13:$CJ$48,2,FALSE),X$5*$S48/$T$4*$U$1)</f>
        <v>0</v>
      </c>
      <c r="Y48" s="2">
        <f>+IF($D48&lt;&gt;"",Y$6*$T48/$T$4*VLOOKUP($M48,CÁRNICOS!$CD$13:$CJ$48,2,FALSE),Y$5*$T48/$T$4*$U$1)</f>
        <v>0</v>
      </c>
      <c r="Z48" s="146">
        <f>IF($E48&lt;&gt;"",0,SUM(U48:Y48))</f>
        <v>0</v>
      </c>
      <c r="AA48" s="149">
        <f>+ROUNDUP(Z48/AA$4,0)</f>
        <v>0</v>
      </c>
      <c r="AB48" s="120">
        <f>+IF(Z48*AA48=0,0,(ROUNDUP(Z48/AA48,3)))</f>
        <v>0</v>
      </c>
      <c r="AC48" s="147">
        <f>+IF($D48&lt;&gt;"",AC$6*$P48/$T$4*VLOOKUP($M48,CÁRNICOS!$CD$13:$CJ$48,3,FALSE),AC$5*$P48/$T$4*$AC$1)</f>
        <v>0</v>
      </c>
      <c r="AD48" s="147">
        <f>+IF($D48&lt;&gt;"",AD$6*$Q48/$T$4*VLOOKUP($M48,CÁRNICOS!$CD$13:$CJ$48,3,FALSE),AD$5*$Q48/$T$4*$AC$1)</f>
        <v>0</v>
      </c>
      <c r="AE48" s="2">
        <f>+IF($D48&lt;&gt;"",AE$6*$R48/$T$4*VLOOKUP($M48,CÁRNICOS!$CD$13:$CJ$48,3,FALSE),AE$5*$R48/$T$4*$AC$1)</f>
        <v>0</v>
      </c>
      <c r="AF48" s="2">
        <f>+IF($D48&lt;&gt;"",AF$6*$S48/$T$4*VLOOKUP($M48,CÁRNICOS!$CD$13:$CJ$48,3,FALSE),AF$5*$S48/$T$4*$AC$1)</f>
        <v>0</v>
      </c>
      <c r="AG48" s="2">
        <f>+IF($D48&lt;&gt;"",AG$6*$T48/$T$4*VLOOKUP($M48,CÁRNICOS!$CD$13:$CJ$48,3,FALSE),AG$5*$T48/$T$4*$AC$1)</f>
        <v>0</v>
      </c>
      <c r="AH48" s="120">
        <f>IF($F48&lt;&gt;"",0,SUM(AC48:AG48))</f>
        <v>0</v>
      </c>
      <c r="AI48" s="149">
        <f>+ROUNDUP(AH48/AI$4,0)</f>
        <v>0</v>
      </c>
      <c r="AJ48" s="120">
        <f>+IF(AH48*AI48=0,0,(ROUNDUP(AH48/AI48,3)))</f>
        <v>0</v>
      </c>
      <c r="AK48" s="2">
        <f>+IF($D48&lt;&gt;"",AK$6*$P48/$T$4*VLOOKUP($M48,CÁRNICOS!$CD$13:$CJ$48,4,FALSE),AK$5*$P48/$T$4*$AK$1)</f>
        <v>0</v>
      </c>
      <c r="AL48" s="2">
        <f>+IF($D48&lt;&gt;"",AL$6*$Q48/$T$4*VLOOKUP($M48,CÁRNICOS!$CD$13:$CJ$48,4,FALSE),AL$5*$Q48/$T$4*$AK$1)</f>
        <v>0</v>
      </c>
      <c r="AM48" s="2">
        <f>+IF($D48&lt;&gt;"",AM$6*$R48/$T$4*VLOOKUP($M48,CÁRNICOS!$CD$13:$CJ$48,4,FALSE),AM$5*$R48/$T$4*$AK$1)</f>
        <v>0</v>
      </c>
      <c r="AN48" s="2">
        <f>+IF($D48&lt;&gt;"",AN$6*$S48/$T$4*VLOOKUP($M48,CÁRNICOS!$CD$13:$CJ$48,4,FALSE),AN$5*$S48/$T$4*$AK$1)</f>
        <v>0</v>
      </c>
      <c r="AO48" s="2">
        <f>+IF($D48&lt;&gt;"",AO$6*$T48/$T$4*VLOOKUP($M48,CÁRNICOS!$CD$13:$CJ$48,4,FALSE),AO$5*$T48/$T$4*$AK$1)</f>
        <v>0</v>
      </c>
      <c r="AP48" s="120">
        <f>IF($G48&lt;&gt;"",0,SUM(AK48:AO48))</f>
        <v>0</v>
      </c>
      <c r="AQ48" s="149">
        <f>+ROUNDUP(AP48/AQ$4,0)</f>
        <v>0</v>
      </c>
      <c r="AR48" s="120">
        <f>+IF(AP48*AQ48=0,0,(ROUNDUP(AP48/AQ48,3)))</f>
        <v>0</v>
      </c>
      <c r="AS48" s="2">
        <f>+IF($D48&lt;&gt;"",AS$6*$P48/$T$4*VLOOKUP($M48,CÁRNICOS!$CD$13:$CJ$48,5,FALSE),AS$5*$P48/$T$4*$AS$1)</f>
        <v>0</v>
      </c>
      <c r="AT48" s="2">
        <f>+IF($D48&lt;&gt;"",AT$6*$Q48/$T$4*VLOOKUP($M48,CÁRNICOS!$CD$13:$CJ$48,5,FALSE),AT$5*$Q48/$T$4*$AS$1)</f>
        <v>1.08</v>
      </c>
      <c r="AU48" s="2">
        <f>+IF($D48&lt;&gt;"",AU$6*$R48/$T$4*VLOOKUP($M48,CÁRNICOS!$CD$13:$CJ$48,5,FALSE),AU$5*$R48/$T$4*$AS$1)</f>
        <v>0</v>
      </c>
      <c r="AV48" s="2">
        <f>+IF($D48&lt;&gt;"",AV$6*$S48/$T$4*VLOOKUP($M48,CÁRNICOS!$CD$13:$CJ$48,5,FALSE),AV$5*$S48/$T$4*$AS$1)</f>
        <v>0</v>
      </c>
      <c r="AW48" s="2">
        <f>+IF($D48&lt;&gt;"",AW$6*$T48/$T$4*VLOOKUP($M48,CÁRNICOS!$CD$13:$CJ$48,5,FALSE),AW$5*$T48/$T$4*$AS$1)</f>
        <v>0</v>
      </c>
      <c r="AX48" s="120">
        <f>IF($H48&lt;&gt;"",0,SUM(AS48:AW48))</f>
        <v>1.08</v>
      </c>
      <c r="AY48" s="149">
        <f>+ROUNDUP(AX48/AY$4,0)</f>
        <v>1</v>
      </c>
      <c r="AZ48" s="120">
        <f>+IF(AX48*AY48=0,0,(ROUNDUP(AX48/AY48,3)))</f>
        <v>1.08</v>
      </c>
      <c r="BA48" s="2">
        <f>+IF($D48&lt;&gt;"",BA$6*$P48/$T$4*VLOOKUP($M48,CÁRNICOS!$CD$13:$CJ$48,6,FALSE),BA$5*$P48/$T$4*$BA$1)</f>
        <v>0</v>
      </c>
      <c r="BB48" s="2">
        <f>+IF($D48&lt;&gt;"",BB$6*$Q48/$T$4*VLOOKUP($M48,CÁRNICOS!$CD$13:$CJ$48,6,FALSE),BB$5*$Q48/$T$4*$BA$1)</f>
        <v>0</v>
      </c>
      <c r="BC48" s="2">
        <f>+IF($D48&lt;&gt;"",BC$6*$R48/$T$4*VLOOKUP($M48,CÁRNICOS!$CD$13:$CJ$48,6,FALSE),BC$5*$R48/$T$4*$BA$1)</f>
        <v>0</v>
      </c>
      <c r="BD48" s="2">
        <f>+IF($D48&lt;&gt;"",BD$6*$S48/$T$4*VLOOKUP($M48,CÁRNICOS!$CD$13:$CJ$48,6,FALSE),BD$5*$S48/$T$4*$BA$1)</f>
        <v>0</v>
      </c>
      <c r="BE48" s="2">
        <f>+IF($D48&lt;&gt;"",BE$6*$T48/$T$4*VLOOKUP($M48,CÁRNICOS!$CD$13:$CJ$48,6,FALSE),BE$5*$T48/$T$4*$BA$1)</f>
        <v>0</v>
      </c>
      <c r="BF48" s="120">
        <f t="shared" si="32"/>
        <v>0</v>
      </c>
      <c r="BG48" s="149">
        <f t="shared" si="33"/>
        <v>0</v>
      </c>
      <c r="BH48" s="120">
        <f t="shared" si="34"/>
        <v>0</v>
      </c>
      <c r="BI48" s="2">
        <f>+IF($D48&lt;&gt;"",BI$6*$P48/$T$4*VLOOKUP($M48,CÁRNICOS!$CD$13:$CJ$48,7,FALSE),BI$5*$P48/$T$4*$BI$1)</f>
        <v>0</v>
      </c>
      <c r="BJ48" s="2">
        <f>+IF($D48&lt;&gt;"",BJ$6*$Q48/$T$4*VLOOKUP($M48,CÁRNICOS!$CD$13:$CJ$48,7,FALSE),BJ$5*$Q48/$T$4*$BI$1)</f>
        <v>0</v>
      </c>
      <c r="BK48" s="2">
        <f>+IF($D48&lt;&gt;"",BK$6*$R48/$T$4*VLOOKUP($M48,CÁRNICOS!$CD$13:$CJ$48,7,FALSE),BK$5*$R48/$T$4*$BI$1)</f>
        <v>0</v>
      </c>
      <c r="BL48" s="2">
        <f>+IF($D48&lt;&gt;"",BL$6*$S48/$T$4*VLOOKUP($M48,CÁRNICOS!$CD$13:$CJ$48,7,FALSE),BL$5*$S48/$T$4*$BI$1)</f>
        <v>0</v>
      </c>
      <c r="BM48" s="2">
        <f>+IF($D48&lt;&gt;"",BM$6*$T48/$T$4*VLOOKUP($M48,CÁRNICOS!$CD$13:$CJ$48,7,FALSE),BM$5*$T48/$T$4*$BI$1)</f>
        <v>0</v>
      </c>
      <c r="BN48" s="120">
        <f t="shared" si="35"/>
        <v>0</v>
      </c>
      <c r="BO48" s="149">
        <f t="shared" si="16"/>
        <v>0</v>
      </c>
      <c r="BP48" s="120">
        <f t="shared" si="17"/>
        <v>0</v>
      </c>
      <c r="BR48" s="74">
        <f t="shared" si="6"/>
        <v>1</v>
      </c>
      <c r="BS48" s="74" t="str">
        <f t="shared" si="7"/>
        <v>PENSILVANIA</v>
      </c>
      <c r="BT48" s="74" t="str">
        <f t="shared" si="8"/>
        <v>INSTITUCION EDUCATIVA PENSILVANIA</v>
      </c>
      <c r="BU48" s="74" t="str">
        <f t="shared" si="9"/>
        <v>CONCENTRACIÓN ESCOLAR BOYACA</v>
      </c>
      <c r="BV48" s="74">
        <f t="shared" si="10"/>
        <v>0</v>
      </c>
      <c r="BW48" s="74">
        <f t="shared" si="11"/>
        <v>0</v>
      </c>
      <c r="BX48" s="74">
        <f t="shared" si="12"/>
        <v>0</v>
      </c>
      <c r="BY48" s="74">
        <f t="shared" si="13"/>
        <v>1.08</v>
      </c>
      <c r="BZ48" s="74">
        <f t="shared" si="14"/>
        <v>0</v>
      </c>
      <c r="CA48" s="74">
        <f t="shared" si="15"/>
        <v>0</v>
      </c>
      <c r="CD48" s="135" t="str">
        <f>+CONSOLIDADO!C46</f>
        <v>TOTAL DPTO</v>
      </c>
      <c r="CE48" s="136">
        <f t="shared" si="31"/>
        <v>0</v>
      </c>
      <c r="CF48" s="136">
        <f t="shared" si="31"/>
        <v>0</v>
      </c>
      <c r="CG48" s="136">
        <f t="shared" si="31"/>
        <v>0</v>
      </c>
      <c r="CH48" s="136">
        <f t="shared" si="31"/>
        <v>1</v>
      </c>
      <c r="CI48" s="136">
        <f t="shared" si="31"/>
        <v>0</v>
      </c>
      <c r="CJ48" s="136">
        <f t="shared" si="31"/>
        <v>0</v>
      </c>
    </row>
    <row r="49" spans="1:88" ht="29.95" customHeight="1" x14ac:dyDescent="0.3">
      <c r="B49" s="46">
        <f>+COUNTIF($M$8:M49,M49)</f>
        <v>2</v>
      </c>
      <c r="C49" s="14">
        <f>SUM(P49:T49)</f>
        <v>80</v>
      </c>
      <c r="D49" s="22" t="s">
        <v>73</v>
      </c>
      <c r="E49" s="124"/>
      <c r="F49" s="60"/>
      <c r="G49" s="60"/>
      <c r="H49" s="60"/>
      <c r="I49" s="60"/>
      <c r="J49" s="60"/>
      <c r="K49" s="59"/>
      <c r="L49" s="122">
        <v>1</v>
      </c>
      <c r="M49" s="162" t="s">
        <v>14</v>
      </c>
      <c r="N49" s="162" t="s">
        <v>220</v>
      </c>
      <c r="O49" s="163" t="s">
        <v>222</v>
      </c>
      <c r="P49" s="74">
        <v>0</v>
      </c>
      <c r="Q49" s="74">
        <v>0</v>
      </c>
      <c r="R49" s="139">
        <v>0</v>
      </c>
      <c r="S49" s="74">
        <v>0</v>
      </c>
      <c r="T49" s="74">
        <v>80</v>
      </c>
      <c r="U49" s="2">
        <f>+IF($D49&lt;&gt;"",U$6*$P49/$T$4*VLOOKUP($M49,CÁRNICOS!$CD$13:$CJ$48,2,FALSE),U$5*$P49/$T$4*$U$1)</f>
        <v>0</v>
      </c>
      <c r="V49" s="2">
        <f>+IF($D49&lt;&gt;"",V$6*$Q49/$T$4*VLOOKUP($M49,CÁRNICOS!$CD$13:$CJ$48,2,FALSE),V$5*$Q49/$T$4*$U$1)</f>
        <v>0</v>
      </c>
      <c r="W49" s="2">
        <f>+IF($D49&lt;&gt;"",W$6*$R49/$T$4*VLOOKUP($M49,CÁRNICOS!$CD$13:$CJ$48,2,FALSE),W$5*$R49/$T$4*$U$1)</f>
        <v>0</v>
      </c>
      <c r="X49" s="2">
        <f>+IF($D49&lt;&gt;"",X$6*$S49/$T$4*VLOOKUP($M49,CÁRNICOS!$CD$13:$CJ$48,2,FALSE),X$5*$S49/$T$4*$U$1)</f>
        <v>0</v>
      </c>
      <c r="Y49" s="2">
        <f>+IF($D49&lt;&gt;"",Y$6*$T49/$T$4*VLOOKUP($M49,CÁRNICOS!$CD$13:$CJ$48,2,FALSE),Y$5*$T49/$T$4*$U$1)</f>
        <v>0</v>
      </c>
      <c r="Z49" s="146">
        <f>IF($E49&lt;&gt;"",0,SUM(U49:Y49))</f>
        <v>0</v>
      </c>
      <c r="AA49" s="149">
        <f>+ROUNDUP(Z49/AA$4,0)</f>
        <v>0</v>
      </c>
      <c r="AB49" s="120">
        <f>+IF(Z49*AA49=0,0,(ROUNDUP(Z49/AA49,3)))</f>
        <v>0</v>
      </c>
      <c r="AC49" s="147">
        <f>+IF($D49&lt;&gt;"",AC$6*$P49/$T$4*VLOOKUP($M49,CÁRNICOS!$CD$13:$CJ$48,3,FALSE),AC$5*$P49/$T$4*$AC$1)</f>
        <v>0</v>
      </c>
      <c r="AD49" s="147">
        <f>+IF($D49&lt;&gt;"",AD$6*$Q49/$T$4*VLOOKUP($M49,CÁRNICOS!$CD$13:$CJ$48,3,FALSE),AD$5*$Q49/$T$4*$AC$1)</f>
        <v>0</v>
      </c>
      <c r="AE49" s="2">
        <f>+IF($D49&lt;&gt;"",AE$6*$R49/$T$4*VLOOKUP($M49,CÁRNICOS!$CD$13:$CJ$48,3,FALSE),AE$5*$R49/$T$4*$AC$1)</f>
        <v>0</v>
      </c>
      <c r="AF49" s="2">
        <f>+IF($D49&lt;&gt;"",AF$6*$S49/$T$4*VLOOKUP($M49,CÁRNICOS!$CD$13:$CJ$48,3,FALSE),AF$5*$S49/$T$4*$AC$1)</f>
        <v>0</v>
      </c>
      <c r="AG49" s="2">
        <f>+IF($D49&lt;&gt;"",AG$6*$T49/$T$4*VLOOKUP($M49,CÁRNICOS!$CD$13:$CJ$48,3,FALSE),AG$5*$T49/$T$4*$AC$1)</f>
        <v>0</v>
      </c>
      <c r="AH49" s="120">
        <f>IF($F49&lt;&gt;"",0,SUM(AC49:AG49))</f>
        <v>0</v>
      </c>
      <c r="AI49" s="149">
        <f>+ROUNDUP(AH49/AI$4,0)</f>
        <v>0</v>
      </c>
      <c r="AJ49" s="120">
        <f>+IF(AH49*AI49=0,0,(ROUNDUP(AH49/AI49,3)))</f>
        <v>0</v>
      </c>
      <c r="AK49" s="2">
        <f>+IF($D49&lt;&gt;"",AK$6*$P49/$T$4*VLOOKUP($M49,CÁRNICOS!$CD$13:$CJ$48,4,FALSE),AK$5*$P49/$T$4*$AK$1)</f>
        <v>0</v>
      </c>
      <c r="AL49" s="2">
        <f>+IF($D49&lt;&gt;"",AL$6*$Q49/$T$4*VLOOKUP($M49,CÁRNICOS!$CD$13:$CJ$48,4,FALSE),AL$5*$Q49/$T$4*$AK$1)</f>
        <v>0</v>
      </c>
      <c r="AM49" s="2">
        <f>+IF($D49&lt;&gt;"",AM$6*$R49/$T$4*VLOOKUP($M49,CÁRNICOS!$CD$13:$CJ$48,4,FALSE),AM$5*$R49/$T$4*$AK$1)</f>
        <v>0</v>
      </c>
      <c r="AN49" s="2">
        <f>+IF($D49&lt;&gt;"",AN$6*$S49/$T$4*VLOOKUP($M49,CÁRNICOS!$CD$13:$CJ$48,4,FALSE),AN$5*$S49/$T$4*$AK$1)</f>
        <v>0</v>
      </c>
      <c r="AO49" s="2">
        <f>+IF($D49&lt;&gt;"",AO$6*$T49/$T$4*VLOOKUP($M49,CÁRNICOS!$CD$13:$CJ$48,4,FALSE),AO$5*$T49/$T$4*$AK$1)</f>
        <v>0</v>
      </c>
      <c r="AP49" s="120">
        <f>IF($G49&lt;&gt;"",0,SUM(AK49:AO49))</f>
        <v>0</v>
      </c>
      <c r="AQ49" s="149">
        <f>+ROUNDUP(AP49/AQ$4,0)</f>
        <v>0</v>
      </c>
      <c r="AR49" s="120">
        <f>+IF(AP49*AQ49=0,0,(ROUNDUP(AP49/AQ49,3)))</f>
        <v>0</v>
      </c>
      <c r="AS49" s="2">
        <f>+IF($D49&lt;&gt;"",AS$6*$P49/$T$4*VLOOKUP($M49,CÁRNICOS!$CD$13:$CJ$48,5,FALSE),AS$5*$P49/$T$4*$AS$1)</f>
        <v>0</v>
      </c>
      <c r="AT49" s="2">
        <f>+IF($D49&lt;&gt;"",AT$6*$Q49/$T$4*VLOOKUP($M49,CÁRNICOS!$CD$13:$CJ$48,5,FALSE),AT$5*$Q49/$T$4*$AS$1)</f>
        <v>0</v>
      </c>
      <c r="AU49" s="2">
        <f>+IF($D49&lt;&gt;"",AU$6*$R49/$T$4*VLOOKUP($M49,CÁRNICOS!$CD$13:$CJ$48,5,FALSE),AU$5*$R49/$T$4*$AS$1)</f>
        <v>0</v>
      </c>
      <c r="AV49" s="2">
        <f>+IF($D49&lt;&gt;"",AV$6*$S49/$T$4*VLOOKUP($M49,CÁRNICOS!$CD$13:$CJ$48,5,FALSE),AV$5*$S49/$T$4*$AS$1)</f>
        <v>0</v>
      </c>
      <c r="AW49" s="2">
        <f>+IF($D49&lt;&gt;"",AW$6*$T49/$T$4*VLOOKUP($M49,CÁRNICOS!$CD$13:$CJ$48,5,FALSE),AW$5*$T49/$T$4*$AS$1)</f>
        <v>8</v>
      </c>
      <c r="AX49" s="120">
        <f>IF($H49&lt;&gt;"",0,SUM(AS49:AW49))</f>
        <v>8</v>
      </c>
      <c r="AY49" s="149">
        <f>+ROUNDUP(AX49/AY$4,0)</f>
        <v>1</v>
      </c>
      <c r="AZ49" s="120">
        <f>+IF(AX49*AY49=0,0,(ROUNDUP(AX49/AY49,3)))</f>
        <v>8</v>
      </c>
      <c r="BA49" s="2">
        <f>+IF($D49&lt;&gt;"",BA$6*$P49/$T$4*VLOOKUP($M49,CÁRNICOS!$CD$13:$CJ$48,6,FALSE),BA$5*$P49/$T$4*$BA$1)</f>
        <v>0</v>
      </c>
      <c r="BB49" s="2">
        <f>+IF($D49&lt;&gt;"",BB$6*$Q49/$T$4*VLOOKUP($M49,CÁRNICOS!$CD$13:$CJ$48,6,FALSE),BB$5*$Q49/$T$4*$BA$1)</f>
        <v>0</v>
      </c>
      <c r="BC49" s="2">
        <f>+IF($D49&lt;&gt;"",BC$6*$R49/$T$4*VLOOKUP($M49,CÁRNICOS!$CD$13:$CJ$48,6,FALSE),BC$5*$R49/$T$4*$BA$1)</f>
        <v>0</v>
      </c>
      <c r="BD49" s="2">
        <f>+IF($D49&lt;&gt;"",BD$6*$S49/$T$4*VLOOKUP($M49,CÁRNICOS!$CD$13:$CJ$48,6,FALSE),BD$5*$S49/$T$4*$BA$1)</f>
        <v>0</v>
      </c>
      <c r="BE49" s="2">
        <f>+IF($D49&lt;&gt;"",BE$6*$T49/$T$4*VLOOKUP($M49,CÁRNICOS!$CD$13:$CJ$48,6,FALSE),BE$5*$T49/$T$4*$BA$1)</f>
        <v>0</v>
      </c>
      <c r="BF49" s="120">
        <f t="shared" si="32"/>
        <v>0</v>
      </c>
      <c r="BG49" s="149">
        <f t="shared" si="33"/>
        <v>0</v>
      </c>
      <c r="BH49" s="120">
        <f t="shared" si="34"/>
        <v>0</v>
      </c>
      <c r="BI49" s="2">
        <f>+IF($D49&lt;&gt;"",BI$6*$P49/$T$4*VLOOKUP($M49,CÁRNICOS!$CD$13:$CJ$48,7,FALSE),BI$5*$P49/$T$4*$BI$1)</f>
        <v>0</v>
      </c>
      <c r="BJ49" s="2">
        <f>+IF($D49&lt;&gt;"",BJ$6*$Q49/$T$4*VLOOKUP($M49,CÁRNICOS!$CD$13:$CJ$48,7,FALSE),BJ$5*$Q49/$T$4*$BI$1)</f>
        <v>0</v>
      </c>
      <c r="BK49" s="2">
        <f>+IF($D49&lt;&gt;"",BK$6*$R49/$T$4*VLOOKUP($M49,CÁRNICOS!$CD$13:$CJ$48,7,FALSE),BK$5*$R49/$T$4*$BI$1)</f>
        <v>0</v>
      </c>
      <c r="BL49" s="2">
        <f>+IF($D49&lt;&gt;"",BL$6*$S49/$T$4*VLOOKUP($M49,CÁRNICOS!$CD$13:$CJ$48,7,FALSE),BL$5*$S49/$T$4*$BI$1)</f>
        <v>0</v>
      </c>
      <c r="BM49" s="2">
        <f>+IF($D49&lt;&gt;"",BM$6*$T49/$T$4*VLOOKUP($M49,CÁRNICOS!$CD$13:$CJ$48,7,FALSE),BM$5*$T49/$T$4*$BI$1)</f>
        <v>0</v>
      </c>
      <c r="BN49" s="120">
        <f t="shared" si="35"/>
        <v>0</v>
      </c>
      <c r="BO49" s="149">
        <f t="shared" si="16"/>
        <v>0</v>
      </c>
      <c r="BP49" s="120">
        <f t="shared" si="17"/>
        <v>0</v>
      </c>
      <c r="BR49" s="74">
        <f t="shared" si="6"/>
        <v>1</v>
      </c>
      <c r="BS49" s="74" t="str">
        <f t="shared" si="7"/>
        <v>PENSILVANIA</v>
      </c>
      <c r="BT49" s="74" t="str">
        <f t="shared" si="8"/>
        <v>INSTITUCION EDUCATIVA PENSILVANIA</v>
      </c>
      <c r="BU49" s="74" t="str">
        <f t="shared" si="9"/>
        <v>INSTITUCIÓN EDUCATIVA PENSILVANIA - SEDE PRINCIPAL</v>
      </c>
      <c r="BV49" s="74">
        <f t="shared" si="10"/>
        <v>0</v>
      </c>
      <c r="BW49" s="74">
        <f t="shared" si="11"/>
        <v>0</v>
      </c>
      <c r="BX49" s="74">
        <f t="shared" si="12"/>
        <v>0</v>
      </c>
      <c r="BY49" s="74">
        <f t="shared" si="13"/>
        <v>8</v>
      </c>
      <c r="BZ49" s="74">
        <f t="shared" si="14"/>
        <v>0</v>
      </c>
      <c r="CA49" s="74">
        <f t="shared" si="15"/>
        <v>0</v>
      </c>
    </row>
    <row r="50" spans="1:88" ht="29.95" customHeight="1" x14ac:dyDescent="0.3">
      <c r="B50" s="46">
        <f>+B49+1</f>
        <v>3</v>
      </c>
      <c r="C50" s="14">
        <f>SUM(P50:T50)</f>
        <v>25</v>
      </c>
      <c r="D50" s="22" t="s">
        <v>73</v>
      </c>
      <c r="E50" s="124"/>
      <c r="F50" s="60"/>
      <c r="G50" s="60"/>
      <c r="H50" s="60"/>
      <c r="I50" s="60"/>
      <c r="J50" s="60"/>
      <c r="K50" s="59"/>
      <c r="L50" s="122">
        <v>6</v>
      </c>
      <c r="M50" s="164" t="s">
        <v>14</v>
      </c>
      <c r="N50" s="164" t="s">
        <v>218</v>
      </c>
      <c r="O50" s="165" t="s">
        <v>219</v>
      </c>
      <c r="P50" s="166">
        <v>0</v>
      </c>
      <c r="Q50" s="166">
        <v>25</v>
      </c>
      <c r="R50" s="167">
        <v>0</v>
      </c>
      <c r="S50" s="74">
        <v>0</v>
      </c>
      <c r="T50" s="74">
        <v>0</v>
      </c>
      <c r="U50" s="2">
        <f>+IF($D50&lt;&gt;"",U$6*$P50/$T$4*VLOOKUP($M50,CÁRNICOS!$CD$13:$CJ$48,2,FALSE),U$5*$P50/$T$4*$U$1)</f>
        <v>0</v>
      </c>
      <c r="V50" s="2">
        <f>+IF($D50&lt;&gt;"",V$6*$Q50/$T$4*VLOOKUP($M50,CÁRNICOS!$CD$13:$CJ$48,2,FALSE),V$5*$Q50/$T$4*$U$1)</f>
        <v>0</v>
      </c>
      <c r="W50" s="2">
        <f>+IF($D50&lt;&gt;"",W$6*$R50/$T$4*VLOOKUP($M50,CÁRNICOS!$CD$13:$CJ$48,2,FALSE),W$5*$R50/$T$4*$U$1)</f>
        <v>0</v>
      </c>
      <c r="X50" s="2">
        <f>+IF($D50&lt;&gt;"",X$6*$S50/$T$4*VLOOKUP($M50,CÁRNICOS!$CD$13:$CJ$48,2,FALSE),X$5*$S50/$T$4*$U$1)</f>
        <v>0</v>
      </c>
      <c r="Y50" s="2">
        <f>+IF($D50&lt;&gt;"",Y$6*$T50/$T$4*VLOOKUP($M50,CÁRNICOS!$CD$13:$CJ$48,2,FALSE),Y$5*$T50/$T$4*$U$1)</f>
        <v>0</v>
      </c>
      <c r="Z50" s="146">
        <f>IF($E50&lt;&gt;"",0,SUM(U50:Y50))</f>
        <v>0</v>
      </c>
      <c r="AA50" s="149">
        <f>+ROUNDUP(Z50/AA$4,0)</f>
        <v>0</v>
      </c>
      <c r="AB50" s="120">
        <f>+IF(Z50*AA50=0,0,(ROUNDUP(Z50/AA50,3)))</f>
        <v>0</v>
      </c>
      <c r="AC50" s="147">
        <f>+IF($D50&lt;&gt;"",AC$6*$P50/$T$4*VLOOKUP($M50,CÁRNICOS!$CD$13:$CJ$48,3,FALSE),AC$5*$P50/$T$4*$AC$1)</f>
        <v>0</v>
      </c>
      <c r="AD50" s="147">
        <f>+IF($D50&lt;&gt;"",AD$6*$Q50/$T$4*VLOOKUP($M50,CÁRNICOS!$CD$13:$CJ$48,3,FALSE),AD$5*$Q50/$T$4*$AC$1)</f>
        <v>0</v>
      </c>
      <c r="AE50" s="2">
        <f>+IF($D50&lt;&gt;"",AE$6*$R50/$T$4*VLOOKUP($M50,CÁRNICOS!$CD$13:$CJ$48,3,FALSE),AE$5*$R50/$T$4*$AC$1)</f>
        <v>0</v>
      </c>
      <c r="AF50" s="2">
        <f>+IF($D50&lt;&gt;"",AF$6*$S50/$T$4*VLOOKUP($M50,CÁRNICOS!$CD$13:$CJ$48,3,FALSE),AF$5*$S50/$T$4*$AC$1)</f>
        <v>0</v>
      </c>
      <c r="AG50" s="2">
        <f>+IF($D50&lt;&gt;"",AG$6*$T50/$T$4*VLOOKUP($M50,CÁRNICOS!$CD$13:$CJ$48,3,FALSE),AG$5*$T50/$T$4*$AC$1)</f>
        <v>0</v>
      </c>
      <c r="AH50" s="120">
        <f>IF($F50&lt;&gt;"",0,SUM(AC50:AG50))</f>
        <v>0</v>
      </c>
      <c r="AI50" s="149">
        <f>+ROUNDUP(AH50/AI$4,0)</f>
        <v>0</v>
      </c>
      <c r="AJ50" s="120">
        <f>+IF(AH50*AI50=0,0,(ROUNDUP(AH50/AI50,3)))</f>
        <v>0</v>
      </c>
      <c r="AK50" s="2">
        <f>+IF($D50&lt;&gt;"",AK$6*$P50/$T$4*VLOOKUP($M50,CÁRNICOS!$CD$13:$CJ$48,4,FALSE),AK$5*$P50/$T$4*$AK$1)</f>
        <v>0</v>
      </c>
      <c r="AL50" s="2">
        <f>+IF($D50&lt;&gt;"",AL$6*$Q50/$T$4*VLOOKUP($M50,CÁRNICOS!$CD$13:$CJ$48,4,FALSE),AL$5*$Q50/$T$4*$AK$1)</f>
        <v>0</v>
      </c>
      <c r="AM50" s="2">
        <f>+IF($D50&lt;&gt;"",AM$6*$R50/$T$4*VLOOKUP($M50,CÁRNICOS!$CD$13:$CJ$48,4,FALSE),AM$5*$R50/$T$4*$AK$1)</f>
        <v>0</v>
      </c>
      <c r="AN50" s="2">
        <f>+IF($D50&lt;&gt;"",AN$6*$S50/$T$4*VLOOKUP($M50,CÁRNICOS!$CD$13:$CJ$48,4,FALSE),AN$5*$S50/$T$4*$AK$1)</f>
        <v>0</v>
      </c>
      <c r="AO50" s="2">
        <f>+IF($D50&lt;&gt;"",AO$6*$T50/$T$4*VLOOKUP($M50,CÁRNICOS!$CD$13:$CJ$48,4,FALSE),AO$5*$T50/$T$4*$AK$1)</f>
        <v>0</v>
      </c>
      <c r="AP50" s="120">
        <f>IF($G50&lt;&gt;"",0,SUM(AK50:AO50))</f>
        <v>0</v>
      </c>
      <c r="AQ50" s="149">
        <f>+ROUNDUP(AP50/AQ$4,0)</f>
        <v>0</v>
      </c>
      <c r="AR50" s="120">
        <f>+IF(AP50*AQ50=0,0,(ROUNDUP(AP50/AQ50,3)))</f>
        <v>0</v>
      </c>
      <c r="AS50" s="2">
        <f>+IF($D50&lt;&gt;"",AS$6*$P50/$T$4*VLOOKUP($M50,CÁRNICOS!$CD$13:$CJ$48,5,FALSE),AS$5*$P50/$T$4*$AS$1)</f>
        <v>0</v>
      </c>
      <c r="AT50" s="2">
        <f>+IF($D50&lt;&gt;"",AT$6*$Q50/$T$4*VLOOKUP($M50,CÁRNICOS!$CD$13:$CJ$48,5,FALSE),AT$5*$Q50/$T$4*$AS$1)</f>
        <v>1.35</v>
      </c>
      <c r="AU50" s="2">
        <f>+IF($D50&lt;&gt;"",AU$6*$R50/$T$4*VLOOKUP($M50,CÁRNICOS!$CD$13:$CJ$48,5,FALSE),AU$5*$R50/$T$4*$AS$1)</f>
        <v>0</v>
      </c>
      <c r="AV50" s="2">
        <f>+IF($D50&lt;&gt;"",AV$6*$S50/$T$4*VLOOKUP($M50,CÁRNICOS!$CD$13:$CJ$48,5,FALSE),AV$5*$S50/$T$4*$AS$1)</f>
        <v>0</v>
      </c>
      <c r="AW50" s="2">
        <f>+IF($D50&lt;&gt;"",AW$6*$T50/$T$4*VLOOKUP($M50,CÁRNICOS!$CD$13:$CJ$48,5,FALSE),AW$5*$T50/$T$4*$AS$1)</f>
        <v>0</v>
      </c>
      <c r="AX50" s="120">
        <f>IF($H50&lt;&gt;"",0,SUM(AS50:AW50))</f>
        <v>1.35</v>
      </c>
      <c r="AY50" s="149">
        <f>+ROUNDUP(AX50/AY$4,0)</f>
        <v>1</v>
      </c>
      <c r="AZ50" s="120">
        <f>+IF(AX50*AY50=0,0,(ROUNDUP(AX50/AY50,3)))</f>
        <v>1.35</v>
      </c>
      <c r="BA50" s="2">
        <f>+IF($D50&lt;&gt;"",BA$6*$P50/$T$4*VLOOKUP($M50,CÁRNICOS!$CD$13:$CJ$48,6,FALSE),BA$5*$P50/$T$4*$BA$1)</f>
        <v>0</v>
      </c>
      <c r="BB50" s="2">
        <f>+IF($D50&lt;&gt;"",BB$6*$Q50/$T$4*VLOOKUP($M50,CÁRNICOS!$CD$13:$CJ$48,6,FALSE),BB$5*$Q50/$T$4*$BA$1)</f>
        <v>0</v>
      </c>
      <c r="BC50" s="2">
        <f>+IF($D50&lt;&gt;"",BC$6*$R50/$T$4*VLOOKUP($M50,CÁRNICOS!$CD$13:$CJ$48,6,FALSE),BC$5*$R50/$T$4*$BA$1)</f>
        <v>0</v>
      </c>
      <c r="BD50" s="2">
        <f>+IF($D50&lt;&gt;"",BD$6*$S50/$T$4*VLOOKUP($M50,CÁRNICOS!$CD$13:$CJ$48,6,FALSE),BD$5*$S50/$T$4*$BA$1)</f>
        <v>0</v>
      </c>
      <c r="BE50" s="2">
        <f>+IF($D50&lt;&gt;"",BE$6*$T50/$T$4*VLOOKUP($M50,CÁRNICOS!$CD$13:$CJ$48,6,FALSE),BE$5*$T50/$T$4*$BA$1)</f>
        <v>0</v>
      </c>
      <c r="BF50" s="120">
        <f t="shared" si="32"/>
        <v>0</v>
      </c>
      <c r="BG50" s="149">
        <f t="shared" si="33"/>
        <v>0</v>
      </c>
      <c r="BH50" s="120">
        <f t="shared" si="34"/>
        <v>0</v>
      </c>
      <c r="BI50" s="2">
        <f>+IF($D50&lt;&gt;"",BI$6*$P50/$T$4*VLOOKUP($M50,CÁRNICOS!$CD$13:$CJ$48,7,FALSE),BI$5*$P50/$T$4*$BI$1)</f>
        <v>0</v>
      </c>
      <c r="BJ50" s="2">
        <f>+IF($D50&lt;&gt;"",BJ$6*$Q50/$T$4*VLOOKUP($M50,CÁRNICOS!$CD$13:$CJ$48,7,FALSE),BJ$5*$Q50/$T$4*$BI$1)</f>
        <v>0</v>
      </c>
      <c r="BK50" s="2">
        <f>+IF($D50&lt;&gt;"",BK$6*$R50/$T$4*VLOOKUP($M50,CÁRNICOS!$CD$13:$CJ$48,7,FALSE),BK$5*$R50/$T$4*$BI$1)</f>
        <v>0</v>
      </c>
      <c r="BL50" s="2">
        <f>+IF($D50&lt;&gt;"",BL$6*$S50/$T$4*VLOOKUP($M50,CÁRNICOS!$CD$13:$CJ$48,7,FALSE),BL$5*$S50/$T$4*$BI$1)</f>
        <v>0</v>
      </c>
      <c r="BM50" s="2">
        <f>+IF($D50&lt;&gt;"",BM$6*$T50/$T$4*VLOOKUP($M50,CÁRNICOS!$CD$13:$CJ$48,7,FALSE),BM$5*$T50/$T$4*$BI$1)</f>
        <v>0</v>
      </c>
      <c r="BN50" s="120">
        <f t="shared" si="35"/>
        <v>0</v>
      </c>
      <c r="BO50" s="149">
        <f t="shared" ref="BO50:BO63" si="37">+ROUNDUP(BN50/BO$4,0)</f>
        <v>0</v>
      </c>
      <c r="BP50" s="120">
        <f t="shared" ref="BP50:BP63" si="38">+IF(BN50*BO50=0,0,(ROUNDUP(BN50/BO50,3)))</f>
        <v>0</v>
      </c>
      <c r="BR50" s="74">
        <f t="shared" ref="BR50:BR63" si="39">+L50</f>
        <v>6</v>
      </c>
      <c r="BS50" s="74" t="str">
        <f t="shared" ref="BS50:BS63" si="40">+M50</f>
        <v>PENSILVANIA</v>
      </c>
      <c r="BT50" s="74" t="str">
        <f t="shared" ref="BT50:BT63" si="41">+N50</f>
        <v>INSTITUCION EDUCATIVA ESCUELA NORMAL SUPERIOR DE LA PRESENTACION</v>
      </c>
      <c r="BU50" s="74" t="str">
        <f t="shared" ref="BU50:BU63" si="42">+O50</f>
        <v>ESCUELA ANEXA SANTA IMELDA</v>
      </c>
      <c r="BV50" s="74">
        <f t="shared" ref="BV50:BV63" si="43">+Z50</f>
        <v>0</v>
      </c>
      <c r="BW50" s="74">
        <f t="shared" ref="BW50:BW63" si="44">+AH50</f>
        <v>0</v>
      </c>
      <c r="BX50" s="74">
        <f t="shared" ref="BX50:BX63" si="45">+AP50</f>
        <v>0</v>
      </c>
      <c r="BY50" s="74">
        <f t="shared" ref="BY50:BY63" si="46">+AX50</f>
        <v>1.35</v>
      </c>
      <c r="BZ50" s="74">
        <f t="shared" ref="BZ50:BZ63" si="47">+BF50</f>
        <v>0</v>
      </c>
      <c r="CA50" s="74">
        <f t="shared" ref="CA50:CA63" si="48">+BN50</f>
        <v>0</v>
      </c>
    </row>
    <row r="51" spans="1:88" ht="29.95" customHeight="1" x14ac:dyDescent="0.3">
      <c r="B51" s="46">
        <f>+B50+1</f>
        <v>4</v>
      </c>
      <c r="C51" s="14">
        <f>SUM(P51:T51)</f>
        <v>76</v>
      </c>
      <c r="D51" s="22" t="s">
        <v>73</v>
      </c>
      <c r="E51" s="124"/>
      <c r="F51" s="60"/>
      <c r="G51" s="60"/>
      <c r="H51" s="60"/>
      <c r="I51" s="60"/>
      <c r="J51" s="60"/>
      <c r="K51" s="59"/>
      <c r="L51" s="122">
        <v>10</v>
      </c>
      <c r="M51" s="162" t="s">
        <v>67</v>
      </c>
      <c r="N51" s="162" t="s">
        <v>254</v>
      </c>
      <c r="O51" s="163" t="s">
        <v>256</v>
      </c>
      <c r="P51" s="74">
        <v>0</v>
      </c>
      <c r="Q51" s="74">
        <v>66</v>
      </c>
      <c r="R51" s="139">
        <v>10</v>
      </c>
      <c r="S51" s="74">
        <v>0</v>
      </c>
      <c r="T51" s="74">
        <v>0</v>
      </c>
      <c r="U51" s="2">
        <f>+IF($D51&lt;&gt;"",U$6*$P51/$T$4*VLOOKUP($M51,CÁRNICOS!$CD$13:$CJ$48,2,FALSE),U$5*$P51/$T$4*$U$1)</f>
        <v>0</v>
      </c>
      <c r="V51" s="2">
        <f>+IF($D51&lt;&gt;"",V$6*$Q51/$T$4*VLOOKUP($M51,CÁRNICOS!$CD$13:$CJ$48,2,FALSE),V$5*$Q51/$T$4*$U$1)</f>
        <v>0</v>
      </c>
      <c r="W51" s="2">
        <f>+IF($D51&lt;&gt;"",W$6*$R51/$T$4*VLOOKUP($M51,CÁRNICOS!$CD$13:$CJ$48,2,FALSE),W$5*$R51/$T$4*$U$1)</f>
        <v>0</v>
      </c>
      <c r="X51" s="2">
        <f>+IF($D51&lt;&gt;"",X$6*$S51/$T$4*VLOOKUP($M51,CÁRNICOS!$CD$13:$CJ$48,2,FALSE),X$5*$S51/$T$4*$U$1)</f>
        <v>0</v>
      </c>
      <c r="Y51" s="2">
        <f>+IF($D51&lt;&gt;"",Y$6*$T51/$T$4*VLOOKUP($M51,CÁRNICOS!$CD$13:$CJ$48,2,FALSE),Y$5*$T51/$T$4*$U$1)</f>
        <v>0</v>
      </c>
      <c r="Z51" s="146">
        <f>IF($E51&lt;&gt;"",0,SUM(U51:Y51))</f>
        <v>0</v>
      </c>
      <c r="AA51" s="149">
        <f>+ROUNDUP(Z51/AA$4,0)</f>
        <v>0</v>
      </c>
      <c r="AB51" s="120">
        <f>+IF(Z51*AA51=0,0,(ROUNDUP(Z51/AA51,3)))</f>
        <v>0</v>
      </c>
      <c r="AC51" s="147">
        <f>+IF($D51&lt;&gt;"",AC$6*$P51/$T$4*VLOOKUP($M51,CÁRNICOS!$CD$13:$CJ$48,3,FALSE),AC$5*$P51/$T$4*$AC$1)</f>
        <v>0</v>
      </c>
      <c r="AD51" s="147">
        <f>+IF($D51&lt;&gt;"",AD$6*$Q51/$T$4*VLOOKUP($M51,CÁRNICOS!$CD$13:$CJ$48,3,FALSE),AD$5*$Q51/$T$4*$AC$1)</f>
        <v>0</v>
      </c>
      <c r="AE51" s="2">
        <f>+IF($D51&lt;&gt;"",AE$6*$R51/$T$4*VLOOKUP($M51,CÁRNICOS!$CD$13:$CJ$48,3,FALSE),AE$5*$R51/$T$4*$AC$1)</f>
        <v>0</v>
      </c>
      <c r="AF51" s="2">
        <f>+IF($D51&lt;&gt;"",AF$6*$S51/$T$4*VLOOKUP($M51,CÁRNICOS!$CD$13:$CJ$48,3,FALSE),AF$5*$S51/$T$4*$AC$1)</f>
        <v>0</v>
      </c>
      <c r="AG51" s="2">
        <f>+IF($D51&lt;&gt;"",AG$6*$T51/$T$4*VLOOKUP($M51,CÁRNICOS!$CD$13:$CJ$48,3,FALSE),AG$5*$T51/$T$4*$AC$1)</f>
        <v>0</v>
      </c>
      <c r="AH51" s="120">
        <f>IF($F51&lt;&gt;"",0,SUM(AC51:AG51))</f>
        <v>0</v>
      </c>
      <c r="AI51" s="149">
        <f>+ROUNDUP(AH51/AI$4,0)</f>
        <v>0</v>
      </c>
      <c r="AJ51" s="120">
        <f>+IF(AH51*AI51=0,0,(ROUNDUP(AH51/AI51,3)))</f>
        <v>0</v>
      </c>
      <c r="AK51" s="2">
        <f>+IF($D51&lt;&gt;"",AK$6*$P51/$T$4*VLOOKUP($M51,CÁRNICOS!$CD$13:$CJ$48,4,FALSE),AK$5*$P51/$T$4*$AK$1)</f>
        <v>0</v>
      </c>
      <c r="AL51" s="2">
        <f>+IF($D51&lt;&gt;"",AL$6*$Q51/$T$4*VLOOKUP($M51,CÁRNICOS!$CD$13:$CJ$48,4,FALSE),AL$5*$Q51/$T$4*$AK$1)</f>
        <v>0</v>
      </c>
      <c r="AM51" s="2">
        <f>+IF($D51&lt;&gt;"",AM$6*$R51/$T$4*VLOOKUP($M51,CÁRNICOS!$CD$13:$CJ$48,4,FALSE),AM$5*$R51/$T$4*$AK$1)</f>
        <v>0</v>
      </c>
      <c r="AN51" s="2">
        <f>+IF($D51&lt;&gt;"",AN$6*$S51/$T$4*VLOOKUP($M51,CÁRNICOS!$CD$13:$CJ$48,4,FALSE),AN$5*$S51/$T$4*$AK$1)</f>
        <v>0</v>
      </c>
      <c r="AO51" s="2">
        <f>+IF($D51&lt;&gt;"",AO$6*$T51/$T$4*VLOOKUP($M51,CÁRNICOS!$CD$13:$CJ$48,4,FALSE),AO$5*$T51/$T$4*$AK$1)</f>
        <v>0</v>
      </c>
      <c r="AP51" s="120">
        <f>IF($G51&lt;&gt;"",0,SUM(AK51:AO51))</f>
        <v>0</v>
      </c>
      <c r="AQ51" s="149">
        <f>+ROUNDUP(AP51/AQ$4,0)</f>
        <v>0</v>
      </c>
      <c r="AR51" s="120">
        <f>+IF(AP51*AQ51=0,0,(ROUNDUP(AP51/AQ51,3)))</f>
        <v>0</v>
      </c>
      <c r="AS51" s="2">
        <f>+IF($D51&lt;&gt;"",AS$6*$P51/$T$4*VLOOKUP($M51,CÁRNICOS!$CD$13:$CJ$48,5,FALSE),AS$5*$P51/$T$4*$AS$1)</f>
        <v>0</v>
      </c>
      <c r="AT51" s="2">
        <f>+IF($D51&lt;&gt;"",AT$6*$Q51/$T$4*VLOOKUP($M51,CÁRNICOS!$CD$13:$CJ$48,5,FALSE),AT$5*$Q51/$T$4*$AS$1)</f>
        <v>3.5640000000000001</v>
      </c>
      <c r="AU51" s="2">
        <f>+IF($D51&lt;&gt;"",AU$6*$R51/$T$4*VLOOKUP($M51,CÁRNICOS!$CD$13:$CJ$48,5,FALSE),AU$5*$R51/$T$4*$AS$1)</f>
        <v>0.65</v>
      </c>
      <c r="AV51" s="2">
        <f>+IF($D51&lt;&gt;"",AV$6*$S51/$T$4*VLOOKUP($M51,CÁRNICOS!$CD$13:$CJ$48,5,FALSE),AV$5*$S51/$T$4*$AS$1)</f>
        <v>0</v>
      </c>
      <c r="AW51" s="2">
        <f>+IF($D51&lt;&gt;"",AW$6*$T51/$T$4*VLOOKUP($M51,CÁRNICOS!$CD$13:$CJ$48,5,FALSE),AW$5*$T51/$T$4*$AS$1)</f>
        <v>0</v>
      </c>
      <c r="AX51" s="120">
        <f>IF($H51&lt;&gt;"",0,SUM(AS51:AW51))</f>
        <v>4.2140000000000004</v>
      </c>
      <c r="AY51" s="149">
        <f>+ROUNDUP(AX51/AY$4,0)</f>
        <v>1</v>
      </c>
      <c r="AZ51" s="120">
        <f>+IF(AX51*AY51=0,0,(ROUNDUP(AX51/AY51,3)))</f>
        <v>4.2140000000000004</v>
      </c>
      <c r="BA51" s="2">
        <f>+IF($D51&lt;&gt;"",BA$6*$P51/$T$4*VLOOKUP($M51,CÁRNICOS!$CD$13:$CJ$48,6,FALSE),BA$5*$P51/$T$4*$BA$1)</f>
        <v>0</v>
      </c>
      <c r="BB51" s="2">
        <f>+IF($D51&lt;&gt;"",BB$6*$Q51/$T$4*VLOOKUP($M51,CÁRNICOS!$CD$13:$CJ$48,6,FALSE),BB$5*$Q51/$T$4*$BA$1)</f>
        <v>0</v>
      </c>
      <c r="BC51" s="2">
        <f>+IF($D51&lt;&gt;"",BC$6*$R51/$T$4*VLOOKUP($M51,CÁRNICOS!$CD$13:$CJ$48,6,FALSE),BC$5*$R51/$T$4*$BA$1)</f>
        <v>0</v>
      </c>
      <c r="BD51" s="2">
        <f>+IF($D51&lt;&gt;"",BD$6*$S51/$T$4*VLOOKUP($M51,CÁRNICOS!$CD$13:$CJ$48,6,FALSE),BD$5*$S51/$T$4*$BA$1)</f>
        <v>0</v>
      </c>
      <c r="BE51" s="2">
        <f>+IF($D51&lt;&gt;"",BE$6*$T51/$T$4*VLOOKUP($M51,CÁRNICOS!$CD$13:$CJ$48,6,FALSE),BE$5*$T51/$T$4*$BA$1)</f>
        <v>0</v>
      </c>
      <c r="BF51" s="120">
        <f t="shared" si="32"/>
        <v>0</v>
      </c>
      <c r="BG51" s="149">
        <f t="shared" si="33"/>
        <v>0</v>
      </c>
      <c r="BH51" s="120">
        <f t="shared" si="34"/>
        <v>0</v>
      </c>
      <c r="BI51" s="2">
        <f>+IF($D51&lt;&gt;"",BI$6*$P51/$T$4*VLOOKUP($M51,CÁRNICOS!$CD$13:$CJ$48,7,FALSE),BI$5*$P51/$T$4*$BI$1)</f>
        <v>0</v>
      </c>
      <c r="BJ51" s="2">
        <f>+IF($D51&lt;&gt;"",BJ$6*$Q51/$T$4*VLOOKUP($M51,CÁRNICOS!$CD$13:$CJ$48,7,FALSE),BJ$5*$Q51/$T$4*$BI$1)</f>
        <v>0</v>
      </c>
      <c r="BK51" s="2">
        <f>+IF($D51&lt;&gt;"",BK$6*$R51/$T$4*VLOOKUP($M51,CÁRNICOS!$CD$13:$CJ$48,7,FALSE),BK$5*$R51/$T$4*$BI$1)</f>
        <v>0</v>
      </c>
      <c r="BL51" s="2">
        <f>+IF($D51&lt;&gt;"",BL$6*$S51/$T$4*VLOOKUP($M51,CÁRNICOS!$CD$13:$CJ$48,7,FALSE),BL$5*$S51/$T$4*$BI$1)</f>
        <v>0</v>
      </c>
      <c r="BM51" s="2">
        <f>+IF($D51&lt;&gt;"",BM$6*$T51/$T$4*VLOOKUP($M51,CÁRNICOS!$CD$13:$CJ$48,7,FALSE),BM$5*$T51/$T$4*$BI$1)</f>
        <v>0</v>
      </c>
      <c r="BN51" s="120">
        <f t="shared" si="35"/>
        <v>0</v>
      </c>
      <c r="BO51" s="149">
        <f t="shared" si="37"/>
        <v>0</v>
      </c>
      <c r="BP51" s="120">
        <f t="shared" si="38"/>
        <v>0</v>
      </c>
      <c r="BR51" s="74">
        <f t="shared" si="39"/>
        <v>10</v>
      </c>
      <c r="BS51" s="74" t="str">
        <f t="shared" si="40"/>
        <v>RIOSUCIO</v>
      </c>
      <c r="BT51" s="74" t="str">
        <f t="shared" si="41"/>
        <v>INSTITUCION EDUCATIVA RIOSUCIO</v>
      </c>
      <c r="BU51" s="74" t="str">
        <f t="shared" si="42"/>
        <v>ESCUELA INTEGRADA TUMBABARRETO</v>
      </c>
      <c r="BV51" s="74">
        <f t="shared" si="43"/>
        <v>0</v>
      </c>
      <c r="BW51" s="74">
        <f t="shared" si="44"/>
        <v>0</v>
      </c>
      <c r="BX51" s="74">
        <f t="shared" si="45"/>
        <v>0</v>
      </c>
      <c r="BY51" s="74">
        <f t="shared" si="46"/>
        <v>4.2140000000000004</v>
      </c>
      <c r="BZ51" s="74">
        <f t="shared" si="47"/>
        <v>0</v>
      </c>
      <c r="CA51" s="74">
        <f t="shared" si="48"/>
        <v>0</v>
      </c>
    </row>
    <row r="52" spans="1:88" ht="29.95" customHeight="1" x14ac:dyDescent="0.3">
      <c r="B52" s="46">
        <f>+B51+1</f>
        <v>5</v>
      </c>
      <c r="C52" s="14">
        <f>SUM(P52:T52)</f>
        <v>41</v>
      </c>
      <c r="D52" s="22" t="s">
        <v>73</v>
      </c>
      <c r="E52" s="124"/>
      <c r="F52" s="60"/>
      <c r="G52" s="60"/>
      <c r="H52" s="60"/>
      <c r="I52" s="60"/>
      <c r="J52" s="60"/>
      <c r="K52" s="59"/>
      <c r="L52" s="122">
        <v>11</v>
      </c>
      <c r="M52" s="162" t="s">
        <v>67</v>
      </c>
      <c r="N52" s="162" t="s">
        <v>285</v>
      </c>
      <c r="O52" s="163" t="s">
        <v>286</v>
      </c>
      <c r="P52" s="74">
        <v>17</v>
      </c>
      <c r="Q52" s="74">
        <v>24</v>
      </c>
      <c r="R52" s="139">
        <v>0</v>
      </c>
      <c r="S52" s="74">
        <v>0</v>
      </c>
      <c r="T52" s="74">
        <v>0</v>
      </c>
      <c r="U52" s="2">
        <f>+IF($D52&lt;&gt;"",U$6*$P52/$T$4*VLOOKUP($M52,CÁRNICOS!$CD$13:$CJ$48,2,FALSE),U$5*$P52/$T$4*$U$1)</f>
        <v>0</v>
      </c>
      <c r="V52" s="2">
        <f>+IF($D52&lt;&gt;"",V$6*$Q52/$T$4*VLOOKUP($M52,CÁRNICOS!$CD$13:$CJ$48,2,FALSE),V$5*$Q52/$T$4*$U$1)</f>
        <v>0</v>
      </c>
      <c r="W52" s="2">
        <f>+IF($D52&lt;&gt;"",W$6*$R52/$T$4*VLOOKUP($M52,CÁRNICOS!$CD$13:$CJ$48,2,FALSE),W$5*$R52/$T$4*$U$1)</f>
        <v>0</v>
      </c>
      <c r="X52" s="2">
        <f>+IF($D52&lt;&gt;"",X$6*$S52/$T$4*VLOOKUP($M52,CÁRNICOS!$CD$13:$CJ$48,2,FALSE),X$5*$S52/$T$4*$U$1)</f>
        <v>0</v>
      </c>
      <c r="Y52" s="2">
        <f>+IF($D52&lt;&gt;"",Y$6*$T52/$T$4*VLOOKUP($M52,CÁRNICOS!$CD$13:$CJ$48,2,FALSE),Y$5*$T52/$T$4*$U$1)</f>
        <v>0</v>
      </c>
      <c r="Z52" s="146">
        <f>IF($E52&lt;&gt;"",0,SUM(U52:Y52))</f>
        <v>0</v>
      </c>
      <c r="AA52" s="149">
        <f>+ROUNDUP(Z52/AA$4,0)</f>
        <v>0</v>
      </c>
      <c r="AB52" s="120">
        <f>+IF(Z52*AA52=0,0,(ROUNDUP(Z52/AA52,3)))</f>
        <v>0</v>
      </c>
      <c r="AC52" s="147">
        <f>+IF($D52&lt;&gt;"",AC$6*$P52/$T$4*VLOOKUP($M52,CÁRNICOS!$CD$13:$CJ$48,3,FALSE),AC$5*$P52/$T$4*$AC$1)</f>
        <v>0</v>
      </c>
      <c r="AD52" s="147">
        <f>+IF($D52&lt;&gt;"",AD$6*$Q52/$T$4*VLOOKUP($M52,CÁRNICOS!$CD$13:$CJ$48,3,FALSE),AD$5*$Q52/$T$4*$AC$1)</f>
        <v>0</v>
      </c>
      <c r="AE52" s="2">
        <f>+IF($D52&lt;&gt;"",AE$6*$R52/$T$4*VLOOKUP($M52,CÁRNICOS!$CD$13:$CJ$48,3,FALSE),AE$5*$R52/$T$4*$AC$1)</f>
        <v>0</v>
      </c>
      <c r="AF52" s="2">
        <f>+IF($D52&lt;&gt;"",AF$6*$S52/$T$4*VLOOKUP($M52,CÁRNICOS!$CD$13:$CJ$48,3,FALSE),AF$5*$S52/$T$4*$AC$1)</f>
        <v>0</v>
      </c>
      <c r="AG52" s="2">
        <f>+IF($D52&lt;&gt;"",AG$6*$T52/$T$4*VLOOKUP($M52,CÁRNICOS!$CD$13:$CJ$48,3,FALSE),AG$5*$T52/$T$4*$AC$1)</f>
        <v>0</v>
      </c>
      <c r="AH52" s="120">
        <f>IF($F52&lt;&gt;"",0,SUM(AC52:AG52))</f>
        <v>0</v>
      </c>
      <c r="AI52" s="149">
        <f>+ROUNDUP(AH52/AI$4,0)</f>
        <v>0</v>
      </c>
      <c r="AJ52" s="120">
        <f>+IF(AH52*AI52=0,0,(ROUNDUP(AH52/AI52,3)))</f>
        <v>0</v>
      </c>
      <c r="AK52" s="2">
        <f>+IF($D52&lt;&gt;"",AK$6*$P52/$T$4*VLOOKUP($M52,CÁRNICOS!$CD$13:$CJ$48,4,FALSE),AK$5*$P52/$T$4*$AK$1)</f>
        <v>0</v>
      </c>
      <c r="AL52" s="2">
        <f>+IF($D52&lt;&gt;"",AL$6*$Q52/$T$4*VLOOKUP($M52,CÁRNICOS!$CD$13:$CJ$48,4,FALSE),AL$5*$Q52/$T$4*$AK$1)</f>
        <v>0</v>
      </c>
      <c r="AM52" s="2">
        <f>+IF($D52&lt;&gt;"",AM$6*$R52/$T$4*VLOOKUP($M52,CÁRNICOS!$CD$13:$CJ$48,4,FALSE),AM$5*$R52/$T$4*$AK$1)</f>
        <v>0</v>
      </c>
      <c r="AN52" s="2">
        <f>+IF($D52&lt;&gt;"",AN$6*$S52/$T$4*VLOOKUP($M52,CÁRNICOS!$CD$13:$CJ$48,4,FALSE),AN$5*$S52/$T$4*$AK$1)</f>
        <v>0</v>
      </c>
      <c r="AO52" s="2">
        <f>+IF($D52&lt;&gt;"",AO$6*$T52/$T$4*VLOOKUP($M52,CÁRNICOS!$CD$13:$CJ$48,4,FALSE),AO$5*$T52/$T$4*$AK$1)</f>
        <v>0</v>
      </c>
      <c r="AP52" s="120">
        <f>IF($G52&lt;&gt;"",0,SUM(AK52:AO52))</f>
        <v>0</v>
      </c>
      <c r="AQ52" s="149">
        <f>+ROUNDUP(AP52/AQ$4,0)</f>
        <v>0</v>
      </c>
      <c r="AR52" s="120">
        <f>+IF(AP52*AQ52=0,0,(ROUNDUP(AP52/AQ52,3)))</f>
        <v>0</v>
      </c>
      <c r="AS52" s="2">
        <f>+IF($D52&lt;&gt;"",AS$6*$P52/$T$4*VLOOKUP($M52,CÁRNICOS!$CD$13:$CJ$48,5,FALSE),AS$5*$P52/$T$4*$AS$1)</f>
        <v>0.91800000000000004</v>
      </c>
      <c r="AT52" s="2">
        <f>+IF($D52&lt;&gt;"",AT$6*$Q52/$T$4*VLOOKUP($M52,CÁRNICOS!$CD$13:$CJ$48,5,FALSE),AT$5*$Q52/$T$4*$AS$1)</f>
        <v>1.296</v>
      </c>
      <c r="AU52" s="2">
        <f>+IF($D52&lt;&gt;"",AU$6*$R52/$T$4*VLOOKUP($M52,CÁRNICOS!$CD$13:$CJ$48,5,FALSE),AU$5*$R52/$T$4*$AS$1)</f>
        <v>0</v>
      </c>
      <c r="AV52" s="2">
        <f>+IF($D52&lt;&gt;"",AV$6*$S52/$T$4*VLOOKUP($M52,CÁRNICOS!$CD$13:$CJ$48,5,FALSE),AV$5*$S52/$T$4*$AS$1)</f>
        <v>0</v>
      </c>
      <c r="AW52" s="2">
        <f>+IF($D52&lt;&gt;"",AW$6*$T52/$T$4*VLOOKUP($M52,CÁRNICOS!$CD$13:$CJ$48,5,FALSE),AW$5*$T52/$T$4*$AS$1)</f>
        <v>0</v>
      </c>
      <c r="AX52" s="120">
        <f>IF($H52&lt;&gt;"",0,SUM(AS52:AW52))</f>
        <v>2.214</v>
      </c>
      <c r="AY52" s="149">
        <f>+ROUNDUP(AX52/AY$4,0)</f>
        <v>1</v>
      </c>
      <c r="AZ52" s="120">
        <f>+IF(AX52*AY52=0,0,(ROUNDUP(AX52/AY52,3)))</f>
        <v>2.214</v>
      </c>
      <c r="BA52" s="2">
        <f>+IF($D52&lt;&gt;"",BA$6*$P52/$T$4*VLOOKUP($M52,CÁRNICOS!$CD$13:$CJ$48,6,FALSE),BA$5*$P52/$T$4*$BA$1)</f>
        <v>0</v>
      </c>
      <c r="BB52" s="2">
        <f>+IF($D52&lt;&gt;"",BB$6*$Q52/$T$4*VLOOKUP($M52,CÁRNICOS!$CD$13:$CJ$48,6,FALSE),BB$5*$Q52/$T$4*$BA$1)</f>
        <v>0</v>
      </c>
      <c r="BC52" s="2">
        <f>+IF($D52&lt;&gt;"",BC$6*$R52/$T$4*VLOOKUP($M52,CÁRNICOS!$CD$13:$CJ$48,6,FALSE),BC$5*$R52/$T$4*$BA$1)</f>
        <v>0</v>
      </c>
      <c r="BD52" s="2">
        <f>+IF($D52&lt;&gt;"",BD$6*$S52/$T$4*VLOOKUP($M52,CÁRNICOS!$CD$13:$CJ$48,6,FALSE),BD$5*$S52/$T$4*$BA$1)</f>
        <v>0</v>
      </c>
      <c r="BE52" s="2">
        <f>+IF($D52&lt;&gt;"",BE$6*$T52/$T$4*VLOOKUP($M52,CÁRNICOS!$CD$13:$CJ$48,6,FALSE),BE$5*$T52/$T$4*$BA$1)</f>
        <v>0</v>
      </c>
      <c r="BF52" s="120">
        <f t="shared" si="32"/>
        <v>0</v>
      </c>
      <c r="BG52" s="149">
        <f t="shared" si="33"/>
        <v>0</v>
      </c>
      <c r="BH52" s="120">
        <f t="shared" si="34"/>
        <v>0</v>
      </c>
      <c r="BI52" s="2">
        <f>+IF($D52&lt;&gt;"",BI$6*$P52/$T$4*VLOOKUP($M52,CÁRNICOS!$CD$13:$CJ$48,7,FALSE),BI$5*$P52/$T$4*$BI$1)</f>
        <v>0</v>
      </c>
      <c r="BJ52" s="2">
        <f>+IF($D52&lt;&gt;"",BJ$6*$Q52/$T$4*VLOOKUP($M52,CÁRNICOS!$CD$13:$CJ$48,7,FALSE),BJ$5*$Q52/$T$4*$BI$1)</f>
        <v>0</v>
      </c>
      <c r="BK52" s="2">
        <f>+IF($D52&lt;&gt;"",BK$6*$R52/$T$4*VLOOKUP($M52,CÁRNICOS!$CD$13:$CJ$48,7,FALSE),BK$5*$R52/$T$4*$BI$1)</f>
        <v>0</v>
      </c>
      <c r="BL52" s="2">
        <f>+IF($D52&lt;&gt;"",BL$6*$S52/$T$4*VLOOKUP($M52,CÁRNICOS!$CD$13:$CJ$48,7,FALSE),BL$5*$S52/$T$4*$BI$1)</f>
        <v>0</v>
      </c>
      <c r="BM52" s="2">
        <f>+IF($D52&lt;&gt;"",BM$6*$T52/$T$4*VLOOKUP($M52,CÁRNICOS!$CD$13:$CJ$48,7,FALSE),BM$5*$T52/$T$4*$BI$1)</f>
        <v>0</v>
      </c>
      <c r="BN52" s="120">
        <f t="shared" si="35"/>
        <v>0</v>
      </c>
      <c r="BO52" s="149">
        <f t="shared" si="37"/>
        <v>0</v>
      </c>
      <c r="BP52" s="120">
        <f t="shared" si="38"/>
        <v>0</v>
      </c>
      <c r="BR52" s="74">
        <f t="shared" si="39"/>
        <v>11</v>
      </c>
      <c r="BS52" s="74" t="str">
        <f t="shared" si="40"/>
        <v>RIOSUCIO</v>
      </c>
      <c r="BT52" s="74" t="str">
        <f t="shared" si="41"/>
        <v>INSTITUCION EDUCATIVA LOS FUNDADORES</v>
      </c>
      <c r="BU52" s="74" t="str">
        <f t="shared" si="42"/>
        <v>ESCUELA URBANA ANTONIO NARIÑO</v>
      </c>
      <c r="BV52" s="74">
        <f t="shared" si="43"/>
        <v>0</v>
      </c>
      <c r="BW52" s="74">
        <f t="shared" si="44"/>
        <v>0</v>
      </c>
      <c r="BX52" s="74">
        <f t="shared" si="45"/>
        <v>0</v>
      </c>
      <c r="BY52" s="74">
        <f t="shared" si="46"/>
        <v>2.214</v>
      </c>
      <c r="BZ52" s="74">
        <f t="shared" si="47"/>
        <v>0</v>
      </c>
      <c r="CA52" s="74">
        <f t="shared" si="48"/>
        <v>0</v>
      </c>
    </row>
    <row r="53" spans="1:88" ht="29.95" customHeight="1" x14ac:dyDescent="0.3">
      <c r="B53" s="46">
        <f>+B52+1</f>
        <v>6</v>
      </c>
      <c r="C53" s="14">
        <f>SUM(P53:T53)</f>
        <v>215</v>
      </c>
      <c r="D53" s="22" t="s">
        <v>73</v>
      </c>
      <c r="E53" s="124"/>
      <c r="F53" s="60"/>
      <c r="G53" s="60"/>
      <c r="H53" s="60"/>
      <c r="I53" s="60"/>
      <c r="J53" s="60"/>
      <c r="K53" s="59"/>
      <c r="L53" s="122">
        <v>12</v>
      </c>
      <c r="M53" s="162" t="s">
        <v>67</v>
      </c>
      <c r="N53" s="162" t="s">
        <v>252</v>
      </c>
      <c r="O53" s="163" t="s">
        <v>253</v>
      </c>
      <c r="P53" s="74">
        <v>0</v>
      </c>
      <c r="Q53" s="74">
        <v>165</v>
      </c>
      <c r="R53" s="139">
        <v>0</v>
      </c>
      <c r="S53" s="74">
        <v>35</v>
      </c>
      <c r="T53" s="74">
        <v>15</v>
      </c>
      <c r="U53" s="2">
        <f>+IF($D53&lt;&gt;"",U$6*$P53/$T$4*VLOOKUP($M53,CÁRNICOS!$CD$13:$CJ$48,2,FALSE),U$5*$P53/$T$4*$U$1)</f>
        <v>0</v>
      </c>
      <c r="V53" s="2">
        <f>+IF($D53&lt;&gt;"",V$6*$Q53/$T$4*VLOOKUP($M53,CÁRNICOS!$CD$13:$CJ$48,2,FALSE),V$5*$Q53/$T$4*$U$1)</f>
        <v>0</v>
      </c>
      <c r="W53" s="2">
        <f>+IF($D53&lt;&gt;"",W$6*$R53/$T$4*VLOOKUP($M53,CÁRNICOS!$CD$13:$CJ$48,2,FALSE),W$5*$R53/$T$4*$U$1)</f>
        <v>0</v>
      </c>
      <c r="X53" s="2">
        <f>+IF($D53&lt;&gt;"",X$6*$S53/$T$4*VLOOKUP($M53,CÁRNICOS!$CD$13:$CJ$48,2,FALSE),X$5*$S53/$T$4*$U$1)</f>
        <v>0</v>
      </c>
      <c r="Y53" s="2">
        <f>+IF($D53&lt;&gt;"",Y$6*$T53/$T$4*VLOOKUP($M53,CÁRNICOS!$CD$13:$CJ$48,2,FALSE),Y$5*$T53/$T$4*$U$1)</f>
        <v>0</v>
      </c>
      <c r="Z53" s="146">
        <f>IF($E53&lt;&gt;"",0,SUM(U53:Y53))</f>
        <v>0</v>
      </c>
      <c r="AA53" s="149">
        <f>+ROUNDUP(Z53/AA$4,0)</f>
        <v>0</v>
      </c>
      <c r="AB53" s="120">
        <f>+IF(Z53*AA53=0,0,(ROUNDUP(Z53/AA53,3)))</f>
        <v>0</v>
      </c>
      <c r="AC53" s="147">
        <f>+IF($D53&lt;&gt;"",AC$6*$P53/$T$4*VLOOKUP($M53,CÁRNICOS!$CD$13:$CJ$48,3,FALSE),AC$5*$P53/$T$4*$AC$1)</f>
        <v>0</v>
      </c>
      <c r="AD53" s="147">
        <f>+IF($D53&lt;&gt;"",AD$6*$Q53/$T$4*VLOOKUP($M53,CÁRNICOS!$CD$13:$CJ$48,3,FALSE),AD$5*$Q53/$T$4*$AC$1)</f>
        <v>0</v>
      </c>
      <c r="AE53" s="2">
        <f>+IF($D53&lt;&gt;"",AE$6*$R53/$T$4*VLOOKUP($M53,CÁRNICOS!$CD$13:$CJ$48,3,FALSE),AE$5*$R53/$T$4*$AC$1)</f>
        <v>0</v>
      </c>
      <c r="AF53" s="2">
        <f>+IF($D53&lt;&gt;"",AF$6*$S53/$T$4*VLOOKUP($M53,CÁRNICOS!$CD$13:$CJ$48,3,FALSE),AF$5*$S53/$T$4*$AC$1)</f>
        <v>0</v>
      </c>
      <c r="AG53" s="2">
        <f>+IF($D53&lt;&gt;"",AG$6*$T53/$T$4*VLOOKUP($M53,CÁRNICOS!$CD$13:$CJ$48,3,FALSE),AG$5*$T53/$T$4*$AC$1)</f>
        <v>0</v>
      </c>
      <c r="AH53" s="120">
        <f>IF($F53&lt;&gt;"",0,SUM(AC53:AG53))</f>
        <v>0</v>
      </c>
      <c r="AI53" s="149">
        <f>+ROUNDUP(AH53/AI$4,0)</f>
        <v>0</v>
      </c>
      <c r="AJ53" s="120">
        <f>+IF(AH53*AI53=0,0,(ROUNDUP(AH53/AI53,3)))</f>
        <v>0</v>
      </c>
      <c r="AK53" s="2">
        <f>+IF($D53&lt;&gt;"",AK$6*$P53/$T$4*VLOOKUP($M53,CÁRNICOS!$CD$13:$CJ$48,4,FALSE),AK$5*$P53/$T$4*$AK$1)</f>
        <v>0</v>
      </c>
      <c r="AL53" s="2">
        <f>+IF($D53&lt;&gt;"",AL$6*$Q53/$T$4*VLOOKUP($M53,CÁRNICOS!$CD$13:$CJ$48,4,FALSE),AL$5*$Q53/$T$4*$AK$1)</f>
        <v>0</v>
      </c>
      <c r="AM53" s="2">
        <f>+IF($D53&lt;&gt;"",AM$6*$R53/$T$4*VLOOKUP($M53,CÁRNICOS!$CD$13:$CJ$48,4,FALSE),AM$5*$R53/$T$4*$AK$1)</f>
        <v>0</v>
      </c>
      <c r="AN53" s="2">
        <f>+IF($D53&lt;&gt;"",AN$6*$S53/$T$4*VLOOKUP($M53,CÁRNICOS!$CD$13:$CJ$48,4,FALSE),AN$5*$S53/$T$4*$AK$1)</f>
        <v>0</v>
      </c>
      <c r="AO53" s="2">
        <f>+IF($D53&lt;&gt;"",AO$6*$T53/$T$4*VLOOKUP($M53,CÁRNICOS!$CD$13:$CJ$48,4,FALSE),AO$5*$T53/$T$4*$AK$1)</f>
        <v>0</v>
      </c>
      <c r="AP53" s="120">
        <f>IF($G53&lt;&gt;"",0,SUM(AK53:AO53))</f>
        <v>0</v>
      </c>
      <c r="AQ53" s="149">
        <f>+ROUNDUP(AP53/AQ$4,0)</f>
        <v>0</v>
      </c>
      <c r="AR53" s="120">
        <f>+IF(AP53*AQ53=0,0,(ROUNDUP(AP53/AQ53,3)))</f>
        <v>0</v>
      </c>
      <c r="AS53" s="2">
        <f>+IF($D53&lt;&gt;"",AS$6*$P53/$T$4*VLOOKUP($M53,CÁRNICOS!$CD$13:$CJ$48,5,FALSE),AS$5*$P53/$T$4*$AS$1)</f>
        <v>0</v>
      </c>
      <c r="AT53" s="2">
        <f>+IF($D53&lt;&gt;"",AT$6*$Q53/$T$4*VLOOKUP($M53,CÁRNICOS!$CD$13:$CJ$48,5,FALSE),AT$5*$Q53/$T$4*$AS$1)</f>
        <v>8.91</v>
      </c>
      <c r="AU53" s="2">
        <f>+IF($D53&lt;&gt;"",AU$6*$R53/$T$4*VLOOKUP($M53,CÁRNICOS!$CD$13:$CJ$48,5,FALSE),AU$5*$R53/$T$4*$AS$1)</f>
        <v>0</v>
      </c>
      <c r="AV53" s="2">
        <f>+IF($D53&lt;&gt;"",AV$6*$S53/$T$4*VLOOKUP($M53,CÁRNICOS!$CD$13:$CJ$48,5,FALSE),AV$5*$S53/$T$4*$AS$1)</f>
        <v>2.8</v>
      </c>
      <c r="AW53" s="2">
        <f>+IF($D53&lt;&gt;"",AW$6*$T53/$T$4*VLOOKUP($M53,CÁRNICOS!$CD$13:$CJ$48,5,FALSE),AW$5*$T53/$T$4*$AS$1)</f>
        <v>1.5</v>
      </c>
      <c r="AX53" s="120">
        <f>IF($H53&lt;&gt;"",0,SUM(AS53:AW53))</f>
        <v>13.21</v>
      </c>
      <c r="AY53" s="149">
        <f>+ROUNDUP(AX53/AY$4,0)</f>
        <v>2</v>
      </c>
      <c r="AZ53" s="120">
        <f>+IF(AX53*AY53=0,0,(ROUNDUP(AX53/AY53,3)))</f>
        <v>6.6050000000000004</v>
      </c>
      <c r="BA53" s="2">
        <f>+IF($D53&lt;&gt;"",BA$6*$P53/$T$4*VLOOKUP($M53,CÁRNICOS!$CD$13:$CJ$48,6,FALSE),BA$5*$P53/$T$4*$BA$1)</f>
        <v>0</v>
      </c>
      <c r="BB53" s="2">
        <f>+IF($D53&lt;&gt;"",BB$6*$Q53/$T$4*VLOOKUP($M53,CÁRNICOS!$CD$13:$CJ$48,6,FALSE),BB$5*$Q53/$T$4*$BA$1)</f>
        <v>0</v>
      </c>
      <c r="BC53" s="2">
        <f>+IF($D53&lt;&gt;"",BC$6*$R53/$T$4*VLOOKUP($M53,CÁRNICOS!$CD$13:$CJ$48,6,FALSE),BC$5*$R53/$T$4*$BA$1)</f>
        <v>0</v>
      </c>
      <c r="BD53" s="2">
        <f>+IF($D53&lt;&gt;"",BD$6*$S53/$T$4*VLOOKUP($M53,CÁRNICOS!$CD$13:$CJ$48,6,FALSE),BD$5*$S53/$T$4*$BA$1)</f>
        <v>0</v>
      </c>
      <c r="BE53" s="2">
        <f>+IF($D53&lt;&gt;"",BE$6*$T53/$T$4*VLOOKUP($M53,CÁRNICOS!$CD$13:$CJ$48,6,FALSE),BE$5*$T53/$T$4*$BA$1)</f>
        <v>0</v>
      </c>
      <c r="BF53" s="120">
        <f t="shared" si="32"/>
        <v>0</v>
      </c>
      <c r="BG53" s="149">
        <f t="shared" si="33"/>
        <v>0</v>
      </c>
      <c r="BH53" s="120">
        <f t="shared" si="34"/>
        <v>0</v>
      </c>
      <c r="BI53" s="2">
        <f>+IF($D53&lt;&gt;"",BI$6*$P53/$T$4*VLOOKUP($M53,CÁRNICOS!$CD$13:$CJ$48,7,FALSE),BI$5*$P53/$T$4*$BI$1)</f>
        <v>0</v>
      </c>
      <c r="BJ53" s="2">
        <f>+IF($D53&lt;&gt;"",BJ$6*$Q53/$T$4*VLOOKUP($M53,CÁRNICOS!$CD$13:$CJ$48,7,FALSE),BJ$5*$Q53/$T$4*$BI$1)</f>
        <v>0</v>
      </c>
      <c r="BK53" s="2">
        <f>+IF($D53&lt;&gt;"",BK$6*$R53/$T$4*VLOOKUP($M53,CÁRNICOS!$CD$13:$CJ$48,7,FALSE),BK$5*$R53/$T$4*$BI$1)</f>
        <v>0</v>
      </c>
      <c r="BL53" s="2">
        <f>+IF($D53&lt;&gt;"",BL$6*$S53/$T$4*VLOOKUP($M53,CÁRNICOS!$CD$13:$CJ$48,7,FALSE),BL$5*$S53/$T$4*$BI$1)</f>
        <v>0</v>
      </c>
      <c r="BM53" s="2">
        <f>+IF($D53&lt;&gt;"",BM$6*$T53/$T$4*VLOOKUP($M53,CÁRNICOS!$CD$13:$CJ$48,7,FALSE),BM$5*$T53/$T$4*$BI$1)</f>
        <v>0</v>
      </c>
      <c r="BN53" s="120">
        <f t="shared" si="35"/>
        <v>0</v>
      </c>
      <c r="BO53" s="149">
        <f t="shared" si="37"/>
        <v>0</v>
      </c>
      <c r="BP53" s="120">
        <f t="shared" si="38"/>
        <v>0</v>
      </c>
      <c r="BR53" s="74">
        <f t="shared" si="39"/>
        <v>12</v>
      </c>
      <c r="BS53" s="74" t="str">
        <f t="shared" si="40"/>
        <v>RIOSUCIO</v>
      </c>
      <c r="BT53" s="74" t="str">
        <f t="shared" si="41"/>
        <v>INSTITUCION EDUCATIVA ESCUELA NORMAL SUPERIOR SAGRADO CORAZON</v>
      </c>
      <c r="BU53" s="74" t="str">
        <f t="shared" si="42"/>
        <v>INSTITUCION EDUCATIVA ESCUELA NORMAL SUPERIOR SAGRADO CORAZON - SEDE PRINCIPAL</v>
      </c>
      <c r="BV53" s="74">
        <f t="shared" si="43"/>
        <v>0</v>
      </c>
      <c r="BW53" s="74">
        <f t="shared" si="44"/>
        <v>0</v>
      </c>
      <c r="BX53" s="74">
        <f t="shared" si="45"/>
        <v>0</v>
      </c>
      <c r="BY53" s="74">
        <f t="shared" si="46"/>
        <v>13.21</v>
      </c>
      <c r="BZ53" s="74">
        <f t="shared" si="47"/>
        <v>0</v>
      </c>
      <c r="CA53" s="74">
        <f t="shared" si="48"/>
        <v>0</v>
      </c>
    </row>
    <row r="54" spans="1:88" ht="29.95" customHeight="1" x14ac:dyDescent="0.3">
      <c r="B54" s="46">
        <f>+B53+1</f>
        <v>7</v>
      </c>
      <c r="C54" s="14">
        <f>SUM(P54:T54)</f>
        <v>143</v>
      </c>
      <c r="D54" s="22" t="s">
        <v>73</v>
      </c>
      <c r="E54" s="124"/>
      <c r="F54" s="60"/>
      <c r="G54" s="60"/>
      <c r="H54" s="60"/>
      <c r="I54" s="60"/>
      <c r="J54" s="60"/>
      <c r="K54" s="59"/>
      <c r="L54" s="122">
        <v>12</v>
      </c>
      <c r="M54" s="162" t="s">
        <v>67</v>
      </c>
      <c r="N54" s="162" t="s">
        <v>254</v>
      </c>
      <c r="O54" s="163" t="s">
        <v>255</v>
      </c>
      <c r="P54" s="74">
        <v>0</v>
      </c>
      <c r="Q54" s="74">
        <v>143</v>
      </c>
      <c r="R54" s="139">
        <v>0</v>
      </c>
      <c r="S54" s="74">
        <v>0</v>
      </c>
      <c r="T54" s="74">
        <v>0</v>
      </c>
      <c r="U54" s="2">
        <f>+IF($D54&lt;&gt;"",U$6*$P54/$T$4*VLOOKUP($M54,CÁRNICOS!$CD$13:$CJ$48,2,FALSE),U$5*$P54/$T$4*$U$1)</f>
        <v>0</v>
      </c>
      <c r="V54" s="2">
        <f>+IF($D54&lt;&gt;"",V$6*$Q54/$T$4*VLOOKUP($M54,CÁRNICOS!$CD$13:$CJ$48,2,FALSE),V$5*$Q54/$T$4*$U$1)</f>
        <v>0</v>
      </c>
      <c r="W54" s="2">
        <f>+IF($D54&lt;&gt;"",W$6*$R54/$T$4*VLOOKUP($M54,CÁRNICOS!$CD$13:$CJ$48,2,FALSE),W$5*$R54/$T$4*$U$1)</f>
        <v>0</v>
      </c>
      <c r="X54" s="2">
        <f>+IF($D54&lt;&gt;"",X$6*$S54/$T$4*VLOOKUP($M54,CÁRNICOS!$CD$13:$CJ$48,2,FALSE),X$5*$S54/$T$4*$U$1)</f>
        <v>0</v>
      </c>
      <c r="Y54" s="2">
        <f>+IF($D54&lt;&gt;"",Y$6*$T54/$T$4*VLOOKUP($M54,CÁRNICOS!$CD$13:$CJ$48,2,FALSE),Y$5*$T54/$T$4*$U$1)</f>
        <v>0</v>
      </c>
      <c r="Z54" s="146">
        <f>IF($E54&lt;&gt;"",0,SUM(U54:Y54))</f>
        <v>0</v>
      </c>
      <c r="AA54" s="149">
        <f>+ROUNDUP(Z54/AA$4,0)</f>
        <v>0</v>
      </c>
      <c r="AB54" s="120">
        <f>+IF(Z54*AA54=0,0,(ROUNDUP(Z54/AA54,3)))</f>
        <v>0</v>
      </c>
      <c r="AC54" s="147">
        <f>+IF($D54&lt;&gt;"",AC$6*$P54/$T$4*VLOOKUP($M54,CÁRNICOS!$CD$13:$CJ$48,3,FALSE),AC$5*$P54/$T$4*$AC$1)</f>
        <v>0</v>
      </c>
      <c r="AD54" s="147">
        <f>+IF($D54&lt;&gt;"",AD$6*$Q54/$T$4*VLOOKUP($M54,CÁRNICOS!$CD$13:$CJ$48,3,FALSE),AD$5*$Q54/$T$4*$AC$1)</f>
        <v>0</v>
      </c>
      <c r="AE54" s="2">
        <f>+IF($D54&lt;&gt;"",AE$6*$R54/$T$4*VLOOKUP($M54,CÁRNICOS!$CD$13:$CJ$48,3,FALSE),AE$5*$R54/$T$4*$AC$1)</f>
        <v>0</v>
      </c>
      <c r="AF54" s="2">
        <f>+IF($D54&lt;&gt;"",AF$6*$S54/$T$4*VLOOKUP($M54,CÁRNICOS!$CD$13:$CJ$48,3,FALSE),AF$5*$S54/$T$4*$AC$1)</f>
        <v>0</v>
      </c>
      <c r="AG54" s="2">
        <f>+IF($D54&lt;&gt;"",AG$6*$T54/$T$4*VLOOKUP($M54,CÁRNICOS!$CD$13:$CJ$48,3,FALSE),AG$5*$T54/$T$4*$AC$1)</f>
        <v>0</v>
      </c>
      <c r="AH54" s="120">
        <f>IF($F54&lt;&gt;"",0,SUM(AC54:AG54))</f>
        <v>0</v>
      </c>
      <c r="AI54" s="149">
        <f>+ROUNDUP(AH54/AI$4,0)</f>
        <v>0</v>
      </c>
      <c r="AJ54" s="120">
        <f>+IF(AH54*AI54=0,0,(ROUNDUP(AH54/AI54,3)))</f>
        <v>0</v>
      </c>
      <c r="AK54" s="2">
        <f>+IF($D54&lt;&gt;"",AK$6*$P54/$T$4*VLOOKUP($M54,CÁRNICOS!$CD$13:$CJ$48,4,FALSE),AK$5*$P54/$T$4*$AK$1)</f>
        <v>0</v>
      </c>
      <c r="AL54" s="2">
        <f>+IF($D54&lt;&gt;"",AL$6*$Q54/$T$4*VLOOKUP($M54,CÁRNICOS!$CD$13:$CJ$48,4,FALSE),AL$5*$Q54/$T$4*$AK$1)</f>
        <v>0</v>
      </c>
      <c r="AM54" s="2">
        <f>+IF($D54&lt;&gt;"",AM$6*$R54/$T$4*VLOOKUP($M54,CÁRNICOS!$CD$13:$CJ$48,4,FALSE),AM$5*$R54/$T$4*$AK$1)</f>
        <v>0</v>
      </c>
      <c r="AN54" s="2">
        <f>+IF($D54&lt;&gt;"",AN$6*$S54/$T$4*VLOOKUP($M54,CÁRNICOS!$CD$13:$CJ$48,4,FALSE),AN$5*$S54/$T$4*$AK$1)</f>
        <v>0</v>
      </c>
      <c r="AO54" s="2">
        <f>+IF($D54&lt;&gt;"",AO$6*$T54/$T$4*VLOOKUP($M54,CÁRNICOS!$CD$13:$CJ$48,4,FALSE),AO$5*$T54/$T$4*$AK$1)</f>
        <v>0</v>
      </c>
      <c r="AP54" s="120">
        <f>IF($G54&lt;&gt;"",0,SUM(AK54:AO54))</f>
        <v>0</v>
      </c>
      <c r="AQ54" s="149">
        <f>+ROUNDUP(AP54/AQ$4,0)</f>
        <v>0</v>
      </c>
      <c r="AR54" s="120">
        <f>+IF(AP54*AQ54=0,0,(ROUNDUP(AP54/AQ54,3)))</f>
        <v>0</v>
      </c>
      <c r="AS54" s="2">
        <f>+IF($D54&lt;&gt;"",AS$6*$P54/$T$4*VLOOKUP($M54,CÁRNICOS!$CD$13:$CJ$48,5,FALSE),AS$5*$P54/$T$4*$AS$1)</f>
        <v>0</v>
      </c>
      <c r="AT54" s="2">
        <f>+IF($D54&lt;&gt;"",AT$6*$Q54/$T$4*VLOOKUP($M54,CÁRNICOS!$CD$13:$CJ$48,5,FALSE),AT$5*$Q54/$T$4*$AS$1)</f>
        <v>7.7220000000000004</v>
      </c>
      <c r="AU54" s="2">
        <f>+IF($D54&lt;&gt;"",AU$6*$R54/$T$4*VLOOKUP($M54,CÁRNICOS!$CD$13:$CJ$48,5,FALSE),AU$5*$R54/$T$4*$AS$1)</f>
        <v>0</v>
      </c>
      <c r="AV54" s="2">
        <f>+IF($D54&lt;&gt;"",AV$6*$S54/$T$4*VLOOKUP($M54,CÁRNICOS!$CD$13:$CJ$48,5,FALSE),AV$5*$S54/$T$4*$AS$1)</f>
        <v>0</v>
      </c>
      <c r="AW54" s="2">
        <f>+IF($D54&lt;&gt;"",AW$6*$T54/$T$4*VLOOKUP($M54,CÁRNICOS!$CD$13:$CJ$48,5,FALSE),AW$5*$T54/$T$4*$AS$1)</f>
        <v>0</v>
      </c>
      <c r="AX54" s="120">
        <f>IF($H54&lt;&gt;"",0,SUM(AS54:AW54))</f>
        <v>7.7220000000000004</v>
      </c>
      <c r="AY54" s="149">
        <f>+ROUNDUP(AX54/AY$4,0)</f>
        <v>1</v>
      </c>
      <c r="AZ54" s="120">
        <f>+IF(AX54*AY54=0,0,(ROUNDUP(AX54/AY54,3)))</f>
        <v>7.7220000000000004</v>
      </c>
      <c r="BA54" s="2">
        <f>+IF($D54&lt;&gt;"",BA$6*$P54/$T$4*VLOOKUP($M54,CÁRNICOS!$CD$13:$CJ$48,6,FALSE),BA$5*$P54/$T$4*$BA$1)</f>
        <v>0</v>
      </c>
      <c r="BB54" s="2">
        <f>+IF($D54&lt;&gt;"",BB$6*$Q54/$T$4*VLOOKUP($M54,CÁRNICOS!$CD$13:$CJ$48,6,FALSE),BB$5*$Q54/$T$4*$BA$1)</f>
        <v>0</v>
      </c>
      <c r="BC54" s="2">
        <f>+IF($D54&lt;&gt;"",BC$6*$R54/$T$4*VLOOKUP($M54,CÁRNICOS!$CD$13:$CJ$48,6,FALSE),BC$5*$R54/$T$4*$BA$1)</f>
        <v>0</v>
      </c>
      <c r="BD54" s="2">
        <f>+IF($D54&lt;&gt;"",BD$6*$S54/$T$4*VLOOKUP($M54,CÁRNICOS!$CD$13:$CJ$48,6,FALSE),BD$5*$S54/$T$4*$BA$1)</f>
        <v>0</v>
      </c>
      <c r="BE54" s="2">
        <f>+IF($D54&lt;&gt;"",BE$6*$T54/$T$4*VLOOKUP($M54,CÁRNICOS!$CD$13:$CJ$48,6,FALSE),BE$5*$T54/$T$4*$BA$1)</f>
        <v>0</v>
      </c>
      <c r="BF54" s="120">
        <f t="shared" si="32"/>
        <v>0</v>
      </c>
      <c r="BG54" s="149">
        <f t="shared" si="33"/>
        <v>0</v>
      </c>
      <c r="BH54" s="120">
        <f t="shared" si="34"/>
        <v>0</v>
      </c>
      <c r="BI54" s="2">
        <f>+IF($D54&lt;&gt;"",BI$6*$P54/$T$4*VLOOKUP($M54,CÁRNICOS!$CD$13:$CJ$48,7,FALSE),BI$5*$P54/$T$4*$BI$1)</f>
        <v>0</v>
      </c>
      <c r="BJ54" s="2">
        <f>+IF($D54&lt;&gt;"",BJ$6*$Q54/$T$4*VLOOKUP($M54,CÁRNICOS!$CD$13:$CJ$48,7,FALSE),BJ$5*$Q54/$T$4*$BI$1)</f>
        <v>0</v>
      </c>
      <c r="BK54" s="2">
        <f>+IF($D54&lt;&gt;"",BK$6*$R54/$T$4*VLOOKUP($M54,CÁRNICOS!$CD$13:$CJ$48,7,FALSE),BK$5*$R54/$T$4*$BI$1)</f>
        <v>0</v>
      </c>
      <c r="BL54" s="2">
        <f>+IF($D54&lt;&gt;"",BL$6*$S54/$T$4*VLOOKUP($M54,CÁRNICOS!$CD$13:$CJ$48,7,FALSE),BL$5*$S54/$T$4*$BI$1)</f>
        <v>0</v>
      </c>
      <c r="BM54" s="2">
        <f>+IF($D54&lt;&gt;"",BM$6*$T54/$T$4*VLOOKUP($M54,CÁRNICOS!$CD$13:$CJ$48,7,FALSE),BM$5*$T54/$T$4*$BI$1)</f>
        <v>0</v>
      </c>
      <c r="BN54" s="120">
        <f t="shared" si="35"/>
        <v>0</v>
      </c>
      <c r="BO54" s="149">
        <f t="shared" si="37"/>
        <v>0</v>
      </c>
      <c r="BP54" s="120">
        <f t="shared" si="38"/>
        <v>0</v>
      </c>
      <c r="BR54" s="74">
        <f t="shared" si="39"/>
        <v>12</v>
      </c>
      <c r="BS54" s="74" t="str">
        <f t="shared" si="40"/>
        <v>RIOSUCIO</v>
      </c>
      <c r="BT54" s="74" t="str">
        <f t="shared" si="41"/>
        <v>INSTITUCION EDUCATIVA RIOSUCIO</v>
      </c>
      <c r="BU54" s="74" t="str">
        <f t="shared" si="42"/>
        <v>ESCUELA FRANCISCO DE PAULA SANTANDER</v>
      </c>
      <c r="BV54" s="74">
        <f t="shared" si="43"/>
        <v>0</v>
      </c>
      <c r="BW54" s="74">
        <f t="shared" si="44"/>
        <v>0</v>
      </c>
      <c r="BX54" s="74">
        <f t="shared" si="45"/>
        <v>0</v>
      </c>
      <c r="BY54" s="74">
        <f t="shared" si="46"/>
        <v>7.7220000000000004</v>
      </c>
      <c r="BZ54" s="74">
        <f t="shared" si="47"/>
        <v>0</v>
      </c>
      <c r="CA54" s="74">
        <f t="shared" si="48"/>
        <v>0</v>
      </c>
    </row>
    <row r="55" spans="1:88" ht="29.95" customHeight="1" x14ac:dyDescent="0.3">
      <c r="B55" s="46">
        <f>+COUNTIF($M$8:M55,M55)</f>
        <v>1</v>
      </c>
      <c r="C55" s="14">
        <f>SUM(P55:T55)</f>
        <v>77</v>
      </c>
      <c r="D55" s="22" t="s">
        <v>73</v>
      </c>
      <c r="E55" s="124"/>
      <c r="F55" s="60"/>
      <c r="G55" s="60"/>
      <c r="H55" s="60"/>
      <c r="I55" s="60"/>
      <c r="J55" s="60"/>
      <c r="K55" s="59"/>
      <c r="L55" s="122">
        <v>1</v>
      </c>
      <c r="M55" s="162" t="s">
        <v>43</v>
      </c>
      <c r="N55" s="162" t="s">
        <v>44</v>
      </c>
      <c r="O55" s="163" t="s">
        <v>42</v>
      </c>
      <c r="P55" s="74">
        <v>38</v>
      </c>
      <c r="Q55" s="74">
        <v>0</v>
      </c>
      <c r="R55" s="139">
        <v>0</v>
      </c>
      <c r="S55" s="74">
        <v>0</v>
      </c>
      <c r="T55" s="74">
        <v>39</v>
      </c>
      <c r="U55" s="2">
        <f>+IF($D55&lt;&gt;"",U$6*$P55/$T$4*VLOOKUP($M55,CÁRNICOS!$CD$13:$CJ$48,2,FALSE),U$5*$P55/$T$4*$U$1)</f>
        <v>0</v>
      </c>
      <c r="V55" s="2">
        <f>+IF($D55&lt;&gt;"",V$6*$Q55/$T$4*VLOOKUP($M55,CÁRNICOS!$CD$13:$CJ$48,2,FALSE),V$5*$Q55/$T$4*$U$1)</f>
        <v>0</v>
      </c>
      <c r="W55" s="2">
        <f>+IF($D55&lt;&gt;"",W$6*$R55/$T$4*VLOOKUP($M55,CÁRNICOS!$CD$13:$CJ$48,2,FALSE),W$5*$R55/$T$4*$U$1)</f>
        <v>0</v>
      </c>
      <c r="X55" s="2">
        <f>+IF($D55&lt;&gt;"",X$6*$S55/$T$4*VLOOKUP($M55,CÁRNICOS!$CD$13:$CJ$48,2,FALSE),X$5*$S55/$T$4*$U$1)</f>
        <v>0</v>
      </c>
      <c r="Y55" s="2">
        <f>+IF($D55&lt;&gt;"",Y$6*$T55/$T$4*VLOOKUP($M55,CÁRNICOS!$CD$13:$CJ$48,2,FALSE),Y$5*$T55/$T$4*$U$1)</f>
        <v>0</v>
      </c>
      <c r="Z55" s="146">
        <f>IF($E55&lt;&gt;"",0,SUM(U55:Y55))</f>
        <v>0</v>
      </c>
      <c r="AA55" s="149">
        <f>+ROUNDUP(Z55/AA$4,0)</f>
        <v>0</v>
      </c>
      <c r="AB55" s="120">
        <f>+IF(Z55*AA55=0,0,(ROUNDUP(Z55/AA55,3)))</f>
        <v>0</v>
      </c>
      <c r="AC55" s="147">
        <f>+IF($D55&lt;&gt;"",AC$6*$P55/$T$4*VLOOKUP($M55,CÁRNICOS!$CD$13:$CJ$48,3,FALSE),AC$5*$P55/$T$4*$AC$1)</f>
        <v>0</v>
      </c>
      <c r="AD55" s="147">
        <f>+IF($D55&lt;&gt;"",AD$6*$Q55/$T$4*VLOOKUP($M55,CÁRNICOS!$CD$13:$CJ$48,3,FALSE),AD$5*$Q55/$T$4*$AC$1)</f>
        <v>0</v>
      </c>
      <c r="AE55" s="2">
        <f>+IF($D55&lt;&gt;"",AE$6*$R55/$T$4*VLOOKUP($M55,CÁRNICOS!$CD$13:$CJ$48,3,FALSE),AE$5*$R55/$T$4*$AC$1)</f>
        <v>0</v>
      </c>
      <c r="AF55" s="2">
        <f>+IF($D55&lt;&gt;"",AF$6*$S55/$T$4*VLOOKUP($M55,CÁRNICOS!$CD$13:$CJ$48,3,FALSE),AF$5*$S55/$T$4*$AC$1)</f>
        <v>0</v>
      </c>
      <c r="AG55" s="2">
        <f>+IF($D55&lt;&gt;"",AG$6*$T55/$T$4*VLOOKUP($M55,CÁRNICOS!$CD$13:$CJ$48,3,FALSE),AG$5*$T55/$T$4*$AC$1)</f>
        <v>0</v>
      </c>
      <c r="AH55" s="120">
        <f>IF($F55&lt;&gt;"",0,SUM(AC55:AG55))</f>
        <v>0</v>
      </c>
      <c r="AI55" s="149">
        <f>+ROUNDUP(AH55/AI$4,0)</f>
        <v>0</v>
      </c>
      <c r="AJ55" s="120">
        <f>+IF(AH55*AI55=0,0,(ROUNDUP(AH55/AI55,3)))</f>
        <v>0</v>
      </c>
      <c r="AK55" s="2">
        <f>+IF($D55&lt;&gt;"",AK$6*$P55/$T$4*VLOOKUP($M55,CÁRNICOS!$CD$13:$CJ$48,4,FALSE),AK$5*$P55/$T$4*$AK$1)</f>
        <v>0</v>
      </c>
      <c r="AL55" s="2">
        <f>+IF($D55&lt;&gt;"",AL$6*$Q55/$T$4*VLOOKUP($M55,CÁRNICOS!$CD$13:$CJ$48,4,FALSE),AL$5*$Q55/$T$4*$AK$1)</f>
        <v>0</v>
      </c>
      <c r="AM55" s="2">
        <f>+IF($D55&lt;&gt;"",AM$6*$R55/$T$4*VLOOKUP($M55,CÁRNICOS!$CD$13:$CJ$48,4,FALSE),AM$5*$R55/$T$4*$AK$1)</f>
        <v>0</v>
      </c>
      <c r="AN55" s="2">
        <f>+IF($D55&lt;&gt;"",AN$6*$S55/$T$4*VLOOKUP($M55,CÁRNICOS!$CD$13:$CJ$48,4,FALSE),AN$5*$S55/$T$4*$AK$1)</f>
        <v>0</v>
      </c>
      <c r="AO55" s="2">
        <f>+IF($D55&lt;&gt;"",AO$6*$T55/$T$4*VLOOKUP($M55,CÁRNICOS!$CD$13:$CJ$48,4,FALSE),AO$5*$T55/$T$4*$AK$1)</f>
        <v>0</v>
      </c>
      <c r="AP55" s="120">
        <f>IF($G55&lt;&gt;"",0,SUM(AK55:AO55))</f>
        <v>0</v>
      </c>
      <c r="AQ55" s="149">
        <f>+ROUNDUP(AP55/AQ$4,0)</f>
        <v>0</v>
      </c>
      <c r="AR55" s="120">
        <f>+IF(AP55*AQ55=0,0,(ROUNDUP(AP55/AQ55,3)))</f>
        <v>0</v>
      </c>
      <c r="AS55" s="2">
        <f>+IF($D55&lt;&gt;"",AS$6*$P55/$T$4*VLOOKUP($M55,CÁRNICOS!$CD$13:$CJ$48,5,FALSE),AS$5*$P55/$T$4*$AS$1)</f>
        <v>2.052</v>
      </c>
      <c r="AT55" s="2">
        <f>+IF($D55&lt;&gt;"",AT$6*$Q55/$T$4*VLOOKUP($M55,CÁRNICOS!$CD$13:$CJ$48,5,FALSE),AT$5*$Q55/$T$4*$AS$1)</f>
        <v>0</v>
      </c>
      <c r="AU55" s="2">
        <f>+IF($D55&lt;&gt;"",AU$6*$R55/$T$4*VLOOKUP($M55,CÁRNICOS!$CD$13:$CJ$48,5,FALSE),AU$5*$R55/$T$4*$AS$1)</f>
        <v>0</v>
      </c>
      <c r="AV55" s="2">
        <f>+IF($D55&lt;&gt;"",AV$6*$S55/$T$4*VLOOKUP($M55,CÁRNICOS!$CD$13:$CJ$48,5,FALSE),AV$5*$S55/$T$4*$AS$1)</f>
        <v>0</v>
      </c>
      <c r="AW55" s="2">
        <f>+IF($D55&lt;&gt;"",AW$6*$T55/$T$4*VLOOKUP($M55,CÁRNICOS!$CD$13:$CJ$48,5,FALSE),AW$5*$T55/$T$4*$AS$1)</f>
        <v>3.9</v>
      </c>
      <c r="AX55" s="120">
        <f>IF($H55&lt;&gt;"",0,SUM(AS55:AW55))</f>
        <v>5.952</v>
      </c>
      <c r="AY55" s="149">
        <f>+ROUNDUP(AX55/AY$4,0)</f>
        <v>1</v>
      </c>
      <c r="AZ55" s="120">
        <f>+IF(AX55*AY55=0,0,(ROUNDUP(AX55/AY55,3)))</f>
        <v>5.952</v>
      </c>
      <c r="BA55" s="2">
        <f>+IF($D55&lt;&gt;"",BA$6*$P55/$T$4*VLOOKUP($M55,CÁRNICOS!$CD$13:$CJ$48,6,FALSE),BA$5*$P55/$T$4*$BA$1)</f>
        <v>0</v>
      </c>
      <c r="BB55" s="2">
        <f>+IF($D55&lt;&gt;"",BB$6*$Q55/$T$4*VLOOKUP($M55,CÁRNICOS!$CD$13:$CJ$48,6,FALSE),BB$5*$Q55/$T$4*$BA$1)</f>
        <v>0</v>
      </c>
      <c r="BC55" s="2">
        <f>+IF($D55&lt;&gt;"",BC$6*$R55/$T$4*VLOOKUP($M55,CÁRNICOS!$CD$13:$CJ$48,6,FALSE),BC$5*$R55/$T$4*$BA$1)</f>
        <v>0</v>
      </c>
      <c r="BD55" s="2">
        <f>+IF($D55&lt;&gt;"",BD$6*$S55/$T$4*VLOOKUP($M55,CÁRNICOS!$CD$13:$CJ$48,6,FALSE),BD$5*$S55/$T$4*$BA$1)</f>
        <v>0</v>
      </c>
      <c r="BE55" s="2">
        <f>+IF($D55&lt;&gt;"",BE$6*$T55/$T$4*VLOOKUP($M55,CÁRNICOS!$CD$13:$CJ$48,6,FALSE),BE$5*$T55/$T$4*$BA$1)</f>
        <v>0</v>
      </c>
      <c r="BF55" s="120">
        <f t="shared" si="32"/>
        <v>0</v>
      </c>
      <c r="BG55" s="149">
        <f t="shared" si="33"/>
        <v>0</v>
      </c>
      <c r="BH55" s="120">
        <f t="shared" si="34"/>
        <v>0</v>
      </c>
      <c r="BI55" s="2">
        <f>+IF($D55&lt;&gt;"",BI$6*$P55/$T$4*VLOOKUP($M55,CÁRNICOS!$CD$13:$CJ$48,7,FALSE),BI$5*$P55/$T$4*$BI$1)</f>
        <v>0</v>
      </c>
      <c r="BJ55" s="2">
        <f>+IF($D55&lt;&gt;"",BJ$6*$Q55/$T$4*VLOOKUP($M55,CÁRNICOS!$CD$13:$CJ$48,7,FALSE),BJ$5*$Q55/$T$4*$BI$1)</f>
        <v>0</v>
      </c>
      <c r="BK55" s="2">
        <f>+IF($D55&lt;&gt;"",BK$6*$R55/$T$4*VLOOKUP($M55,CÁRNICOS!$CD$13:$CJ$48,7,FALSE),BK$5*$R55/$T$4*$BI$1)</f>
        <v>0</v>
      </c>
      <c r="BL55" s="2">
        <f>+IF($D55&lt;&gt;"",BL$6*$S55/$T$4*VLOOKUP($M55,CÁRNICOS!$CD$13:$CJ$48,7,FALSE),BL$5*$S55/$T$4*$BI$1)</f>
        <v>0</v>
      </c>
      <c r="BM55" s="2">
        <f>+IF($D55&lt;&gt;"",BM$6*$T55/$T$4*VLOOKUP($M55,CÁRNICOS!$CD$13:$CJ$48,7,FALSE),BM$5*$T55/$T$4*$BI$1)</f>
        <v>0</v>
      </c>
      <c r="BN55" s="120">
        <f t="shared" si="35"/>
        <v>0</v>
      </c>
      <c r="BO55" s="149">
        <f t="shared" si="37"/>
        <v>0</v>
      </c>
      <c r="BP55" s="120">
        <f t="shared" si="38"/>
        <v>0</v>
      </c>
      <c r="BR55" s="74">
        <f t="shared" si="39"/>
        <v>1</v>
      </c>
      <c r="BS55" s="74" t="str">
        <f t="shared" si="40"/>
        <v>SALAMINA</v>
      </c>
      <c r="BT55" s="74" t="str">
        <f t="shared" si="41"/>
        <v>INSTITUCION EDUCATIVA DE LA PRESENTACION</v>
      </c>
      <c r="BU55" s="74" t="str">
        <f t="shared" si="42"/>
        <v>INSTITUCION EDUCATIVA DE LA PRESENTACION - SEDE PRINCIPAL</v>
      </c>
      <c r="BV55" s="74">
        <f t="shared" si="43"/>
        <v>0</v>
      </c>
      <c r="BW55" s="74">
        <f t="shared" si="44"/>
        <v>0</v>
      </c>
      <c r="BX55" s="74">
        <f t="shared" si="45"/>
        <v>0</v>
      </c>
      <c r="BY55" s="74">
        <f t="shared" si="46"/>
        <v>5.952</v>
      </c>
      <c r="BZ55" s="74">
        <f t="shared" si="47"/>
        <v>0</v>
      </c>
      <c r="CA55" s="74">
        <f t="shared" si="48"/>
        <v>0</v>
      </c>
    </row>
    <row r="56" spans="1:88" s="57" customFormat="1" ht="29.95" customHeight="1" x14ac:dyDescent="0.3">
      <c r="A56" s="6"/>
      <c r="B56" s="46">
        <f>+COUNTIF($M$8:M56,M56)</f>
        <v>2</v>
      </c>
      <c r="C56" s="14">
        <f>SUM(P56:T56)</f>
        <v>15</v>
      </c>
      <c r="D56" s="22" t="s">
        <v>73</v>
      </c>
      <c r="E56" s="124"/>
      <c r="F56" s="60"/>
      <c r="G56" s="60"/>
      <c r="H56" s="60"/>
      <c r="I56" s="60"/>
      <c r="J56" s="60"/>
      <c r="K56" s="59"/>
      <c r="L56" s="122">
        <v>1</v>
      </c>
      <c r="M56" s="162" t="s">
        <v>43</v>
      </c>
      <c r="N56" s="162" t="s">
        <v>2</v>
      </c>
      <c r="O56" s="163" t="s">
        <v>1</v>
      </c>
      <c r="P56" s="74">
        <v>0</v>
      </c>
      <c r="Q56" s="74">
        <v>10</v>
      </c>
      <c r="R56" s="139">
        <v>5</v>
      </c>
      <c r="S56" s="74">
        <v>0</v>
      </c>
      <c r="T56" s="74">
        <v>0</v>
      </c>
      <c r="U56" s="2">
        <f>+IF($D56&lt;&gt;"",U$6*$P56/$T$4*VLOOKUP($M56,CÁRNICOS!$CD$13:$CJ$48,2,FALSE),U$5*$P56/$T$4*$U$1)</f>
        <v>0</v>
      </c>
      <c r="V56" s="2">
        <f>+IF($D56&lt;&gt;"",V$6*$Q56/$T$4*VLOOKUP($M56,CÁRNICOS!$CD$13:$CJ$48,2,FALSE),V$5*$Q56/$T$4*$U$1)</f>
        <v>0</v>
      </c>
      <c r="W56" s="2">
        <f>+IF($D56&lt;&gt;"",W$6*$R56/$T$4*VLOOKUP($M56,CÁRNICOS!$CD$13:$CJ$48,2,FALSE),W$5*$R56/$T$4*$U$1)</f>
        <v>0</v>
      </c>
      <c r="X56" s="2">
        <f>+IF($D56&lt;&gt;"",X$6*$S56/$T$4*VLOOKUP($M56,CÁRNICOS!$CD$13:$CJ$48,2,FALSE),X$5*$S56/$T$4*$U$1)</f>
        <v>0</v>
      </c>
      <c r="Y56" s="2">
        <f>+IF($D56&lt;&gt;"",Y$6*$T56/$T$4*VLOOKUP($M56,CÁRNICOS!$CD$13:$CJ$48,2,FALSE),Y$5*$T56/$T$4*$U$1)</f>
        <v>0</v>
      </c>
      <c r="Z56" s="146">
        <f>IF($E56&lt;&gt;"",0,SUM(U56:Y56))</f>
        <v>0</v>
      </c>
      <c r="AA56" s="149">
        <f>+ROUNDUP(Z56/AA$4,0)</f>
        <v>0</v>
      </c>
      <c r="AB56" s="120">
        <f>+IF(Z56*AA56=0,0,(ROUNDUP(Z56/AA56,3)))</f>
        <v>0</v>
      </c>
      <c r="AC56" s="147">
        <f>+IF($D56&lt;&gt;"",AC$6*$P56/$T$4*VLOOKUP($M56,CÁRNICOS!$CD$13:$CJ$48,3,FALSE),AC$5*$P56/$T$4*$AC$1)</f>
        <v>0</v>
      </c>
      <c r="AD56" s="147">
        <f>+IF($D56&lt;&gt;"",AD$6*$Q56/$T$4*VLOOKUP($M56,CÁRNICOS!$CD$13:$CJ$48,3,FALSE),AD$5*$Q56/$T$4*$AC$1)</f>
        <v>0</v>
      </c>
      <c r="AE56" s="2">
        <f>+IF($D56&lt;&gt;"",AE$6*$R56/$T$4*VLOOKUP($M56,CÁRNICOS!$CD$13:$CJ$48,3,FALSE),AE$5*$R56/$T$4*$AC$1)</f>
        <v>0</v>
      </c>
      <c r="AF56" s="2">
        <f>+IF($D56&lt;&gt;"",AF$6*$S56/$T$4*VLOOKUP($M56,CÁRNICOS!$CD$13:$CJ$48,3,FALSE),AF$5*$S56/$T$4*$AC$1)</f>
        <v>0</v>
      </c>
      <c r="AG56" s="2">
        <f>+IF($D56&lt;&gt;"",AG$6*$T56/$T$4*VLOOKUP($M56,CÁRNICOS!$CD$13:$CJ$48,3,FALSE),AG$5*$T56/$T$4*$AC$1)</f>
        <v>0</v>
      </c>
      <c r="AH56" s="120">
        <f>IF($F56&lt;&gt;"",0,SUM(AC56:AG56))</f>
        <v>0</v>
      </c>
      <c r="AI56" s="149">
        <f>+ROUNDUP(AH56/AI$4,0)</f>
        <v>0</v>
      </c>
      <c r="AJ56" s="120">
        <f>+IF(AH56*AI56=0,0,(ROUNDUP(AH56/AI56,3)))</f>
        <v>0</v>
      </c>
      <c r="AK56" s="2">
        <f>+IF($D56&lt;&gt;"",AK$6*$P56/$T$4*VLOOKUP($M56,CÁRNICOS!$CD$13:$CJ$48,4,FALSE),AK$5*$P56/$T$4*$AK$1)</f>
        <v>0</v>
      </c>
      <c r="AL56" s="2">
        <f>+IF($D56&lt;&gt;"",AL$6*$Q56/$T$4*VLOOKUP($M56,CÁRNICOS!$CD$13:$CJ$48,4,FALSE),AL$5*$Q56/$T$4*$AK$1)</f>
        <v>0</v>
      </c>
      <c r="AM56" s="2">
        <f>+IF($D56&lt;&gt;"",AM$6*$R56/$T$4*VLOOKUP($M56,CÁRNICOS!$CD$13:$CJ$48,4,FALSE),AM$5*$R56/$T$4*$AK$1)</f>
        <v>0</v>
      </c>
      <c r="AN56" s="2">
        <f>+IF($D56&lt;&gt;"",AN$6*$S56/$T$4*VLOOKUP($M56,CÁRNICOS!$CD$13:$CJ$48,4,FALSE),AN$5*$S56/$T$4*$AK$1)</f>
        <v>0</v>
      </c>
      <c r="AO56" s="2">
        <f>+IF($D56&lt;&gt;"",AO$6*$T56/$T$4*VLOOKUP($M56,CÁRNICOS!$CD$13:$CJ$48,4,FALSE),AO$5*$T56/$T$4*$AK$1)</f>
        <v>0</v>
      </c>
      <c r="AP56" s="120">
        <f>IF($G56&lt;&gt;"",0,SUM(AK56:AO56))</f>
        <v>0</v>
      </c>
      <c r="AQ56" s="149">
        <f>+ROUNDUP(AP56/AQ$4,0)</f>
        <v>0</v>
      </c>
      <c r="AR56" s="120">
        <f>+IF(AP56*AQ56=0,0,(ROUNDUP(AP56/AQ56,3)))</f>
        <v>0</v>
      </c>
      <c r="AS56" s="2">
        <f>+IF($D56&lt;&gt;"",AS$6*$P56/$T$4*VLOOKUP($M56,CÁRNICOS!$CD$13:$CJ$48,5,FALSE),AS$5*$P56/$T$4*$AS$1)</f>
        <v>0</v>
      </c>
      <c r="AT56" s="2">
        <f>+IF($D56&lt;&gt;"",AT$6*$Q56/$T$4*VLOOKUP($M56,CÁRNICOS!$CD$13:$CJ$48,5,FALSE),AT$5*$Q56/$T$4*$AS$1)</f>
        <v>0.54</v>
      </c>
      <c r="AU56" s="2">
        <f>+IF($D56&lt;&gt;"",AU$6*$R56/$T$4*VLOOKUP($M56,CÁRNICOS!$CD$13:$CJ$48,5,FALSE),AU$5*$R56/$T$4*$AS$1)</f>
        <v>0.32500000000000001</v>
      </c>
      <c r="AV56" s="2">
        <f>+IF($D56&lt;&gt;"",AV$6*$S56/$T$4*VLOOKUP($M56,CÁRNICOS!$CD$13:$CJ$48,5,FALSE),AV$5*$S56/$T$4*$AS$1)</f>
        <v>0</v>
      </c>
      <c r="AW56" s="2">
        <f>+IF($D56&lt;&gt;"",AW$6*$T56/$T$4*VLOOKUP($M56,CÁRNICOS!$CD$13:$CJ$48,5,FALSE),AW$5*$T56/$T$4*$AS$1)</f>
        <v>0</v>
      </c>
      <c r="AX56" s="120">
        <f>IF($H56&lt;&gt;"",0,SUM(AS56:AW56))</f>
        <v>0.86499999999999999</v>
      </c>
      <c r="AY56" s="149">
        <f>+ROUNDUP(AX56/AY$4,0)</f>
        <v>1</v>
      </c>
      <c r="AZ56" s="120">
        <f>+IF(AX56*AY56=0,0,(ROUNDUP(AX56/AY56,3)))</f>
        <v>0.86499999999999999</v>
      </c>
      <c r="BA56" s="2">
        <f>+IF($D56&lt;&gt;"",BA$6*$P56/$T$4*VLOOKUP($M56,CÁRNICOS!$CD$13:$CJ$48,6,FALSE),BA$5*$P56/$T$4*$BA$1)</f>
        <v>0</v>
      </c>
      <c r="BB56" s="2">
        <f>+IF($D56&lt;&gt;"",BB$6*$Q56/$T$4*VLOOKUP($M56,CÁRNICOS!$CD$13:$CJ$48,6,FALSE),BB$5*$Q56/$T$4*$BA$1)</f>
        <v>0</v>
      </c>
      <c r="BC56" s="2">
        <f>+IF($D56&lt;&gt;"",BC$6*$R56/$T$4*VLOOKUP($M56,CÁRNICOS!$CD$13:$CJ$48,6,FALSE),BC$5*$R56/$T$4*$BA$1)</f>
        <v>0</v>
      </c>
      <c r="BD56" s="2">
        <f>+IF($D56&lt;&gt;"",BD$6*$S56/$T$4*VLOOKUP($M56,CÁRNICOS!$CD$13:$CJ$48,6,FALSE),BD$5*$S56/$T$4*$BA$1)</f>
        <v>0</v>
      </c>
      <c r="BE56" s="2">
        <f>+IF($D56&lt;&gt;"",BE$6*$T56/$T$4*VLOOKUP($M56,CÁRNICOS!$CD$13:$CJ$48,6,FALSE),BE$5*$T56/$T$4*$BA$1)</f>
        <v>0</v>
      </c>
      <c r="BF56" s="120">
        <f t="shared" si="32"/>
        <v>0</v>
      </c>
      <c r="BG56" s="149">
        <f t="shared" si="33"/>
        <v>0</v>
      </c>
      <c r="BH56" s="120">
        <f t="shared" si="34"/>
        <v>0</v>
      </c>
      <c r="BI56" s="2">
        <f>+IF($D56&lt;&gt;"",BI$6*$P56/$T$4*VLOOKUP($M56,CÁRNICOS!$CD$13:$CJ$48,7,FALSE),BI$5*$P56/$T$4*$BI$1)</f>
        <v>0</v>
      </c>
      <c r="BJ56" s="2">
        <f>+IF($D56&lt;&gt;"",BJ$6*$Q56/$T$4*VLOOKUP($M56,CÁRNICOS!$CD$13:$CJ$48,7,FALSE),BJ$5*$Q56/$T$4*$BI$1)</f>
        <v>0</v>
      </c>
      <c r="BK56" s="2">
        <f>+IF($D56&lt;&gt;"",BK$6*$R56/$T$4*VLOOKUP($M56,CÁRNICOS!$CD$13:$CJ$48,7,FALSE),BK$5*$R56/$T$4*$BI$1)</f>
        <v>0</v>
      </c>
      <c r="BL56" s="2">
        <f>+IF($D56&lt;&gt;"",BL$6*$S56/$T$4*VLOOKUP($M56,CÁRNICOS!$CD$13:$CJ$48,7,FALSE),BL$5*$S56/$T$4*$BI$1)</f>
        <v>0</v>
      </c>
      <c r="BM56" s="2">
        <f>+IF($D56&lt;&gt;"",BM$6*$T56/$T$4*VLOOKUP($M56,CÁRNICOS!$CD$13:$CJ$48,7,FALSE),BM$5*$T56/$T$4*$BI$1)</f>
        <v>0</v>
      </c>
      <c r="BN56" s="120">
        <f t="shared" si="35"/>
        <v>0</v>
      </c>
      <c r="BO56" s="149">
        <f t="shared" si="37"/>
        <v>0</v>
      </c>
      <c r="BP56" s="120">
        <f t="shared" si="38"/>
        <v>0</v>
      </c>
      <c r="BR56" s="74">
        <f t="shared" si="39"/>
        <v>1</v>
      </c>
      <c r="BS56" s="74" t="str">
        <f t="shared" si="40"/>
        <v>SALAMINA</v>
      </c>
      <c r="BT56" s="74" t="str">
        <f t="shared" si="41"/>
        <v>INSTITUCION EDUCATIVA PIO XII</v>
      </c>
      <c r="BU56" s="74" t="str">
        <f t="shared" si="42"/>
        <v>INSTITUCION EDUCATIVA PIO XII - SEDE PRINCIPAL</v>
      </c>
      <c r="BV56" s="74">
        <f t="shared" si="43"/>
        <v>0</v>
      </c>
      <c r="BW56" s="74">
        <f t="shared" si="44"/>
        <v>0</v>
      </c>
      <c r="BX56" s="74">
        <f t="shared" si="45"/>
        <v>0</v>
      </c>
      <c r="BY56" s="74">
        <f t="shared" si="46"/>
        <v>0.86499999999999999</v>
      </c>
      <c r="BZ56" s="74">
        <f t="shared" si="47"/>
        <v>0</v>
      </c>
      <c r="CA56" s="74">
        <f t="shared" si="48"/>
        <v>0</v>
      </c>
      <c r="CD56" s="6"/>
      <c r="CE56" s="6"/>
      <c r="CF56" s="6"/>
      <c r="CG56" s="6"/>
      <c r="CH56" s="6"/>
      <c r="CI56" s="6"/>
      <c r="CJ56" s="6"/>
    </row>
    <row r="57" spans="1:88" ht="29.95" customHeight="1" x14ac:dyDescent="0.3">
      <c r="B57" s="46">
        <f>+COUNTIF($M$8:M57,M57)</f>
        <v>1</v>
      </c>
      <c r="C57" s="14">
        <f>SUM(P57:T57)</f>
        <v>19</v>
      </c>
      <c r="D57" s="22" t="s">
        <v>73</v>
      </c>
      <c r="E57" s="124"/>
      <c r="F57" s="60"/>
      <c r="G57" s="60"/>
      <c r="H57" s="60"/>
      <c r="I57" s="60"/>
      <c r="J57" s="60"/>
      <c r="K57" s="59"/>
      <c r="L57" s="122">
        <v>7</v>
      </c>
      <c r="M57" s="162" t="s">
        <v>9</v>
      </c>
      <c r="N57" s="162" t="s">
        <v>10</v>
      </c>
      <c r="O57" s="163" t="s">
        <v>283</v>
      </c>
      <c r="P57" s="74">
        <v>0</v>
      </c>
      <c r="Q57" s="74">
        <v>0</v>
      </c>
      <c r="R57" s="139">
        <v>19</v>
      </c>
      <c r="S57" s="74">
        <v>0</v>
      </c>
      <c r="T57" s="74">
        <v>0</v>
      </c>
      <c r="U57" s="2">
        <f>+IF($D57&lt;&gt;"",U$6*$P57/$T$4*VLOOKUP($M57,CÁRNICOS!$CD$13:$CJ$48,2,FALSE),U$5*$P57/$T$4*$U$1)</f>
        <v>0</v>
      </c>
      <c r="V57" s="2">
        <f>+IF($D57&lt;&gt;"",V$6*$Q57/$T$4*VLOOKUP($M57,CÁRNICOS!$CD$13:$CJ$48,2,FALSE),V$5*$Q57/$T$4*$U$1)</f>
        <v>0</v>
      </c>
      <c r="W57" s="2">
        <f>+IF($D57&lt;&gt;"",W$6*$R57/$T$4*VLOOKUP($M57,CÁRNICOS!$CD$13:$CJ$48,2,FALSE),W$5*$R57/$T$4*$U$1)</f>
        <v>0</v>
      </c>
      <c r="X57" s="2">
        <f>+IF($D57&lt;&gt;"",X$6*$S57/$T$4*VLOOKUP($M57,CÁRNICOS!$CD$13:$CJ$48,2,FALSE),X$5*$S57/$T$4*$U$1)</f>
        <v>0</v>
      </c>
      <c r="Y57" s="2">
        <f>+IF($D57&lt;&gt;"",Y$6*$T57/$T$4*VLOOKUP($M57,CÁRNICOS!$CD$13:$CJ$48,2,FALSE),Y$5*$T57/$T$4*$U$1)</f>
        <v>0</v>
      </c>
      <c r="Z57" s="146">
        <f>IF($E57&lt;&gt;"",0,SUM(U57:Y57))</f>
        <v>0</v>
      </c>
      <c r="AA57" s="149">
        <f>+ROUNDUP(Z57/AA$4,0)</f>
        <v>0</v>
      </c>
      <c r="AB57" s="120">
        <f>+IF(Z57*AA57=0,0,(ROUNDUP(Z57/AA57,3)))</f>
        <v>0</v>
      </c>
      <c r="AC57" s="147">
        <f>+IF($D57&lt;&gt;"",AC$6*$P57/$T$4*VLOOKUP($M57,CÁRNICOS!$CD$13:$CJ$48,3,FALSE),AC$5*$P57/$T$4*$AC$1)</f>
        <v>0</v>
      </c>
      <c r="AD57" s="147">
        <f>+IF($D57&lt;&gt;"",AD$6*$Q57/$T$4*VLOOKUP($M57,CÁRNICOS!$CD$13:$CJ$48,3,FALSE),AD$5*$Q57/$T$4*$AC$1)</f>
        <v>0</v>
      </c>
      <c r="AE57" s="2">
        <f>+IF($D57&lt;&gt;"",AE$6*$R57/$T$4*VLOOKUP($M57,CÁRNICOS!$CD$13:$CJ$48,3,FALSE),AE$5*$R57/$T$4*$AC$1)</f>
        <v>0</v>
      </c>
      <c r="AF57" s="2">
        <f>+IF($D57&lt;&gt;"",AF$6*$S57/$T$4*VLOOKUP($M57,CÁRNICOS!$CD$13:$CJ$48,3,FALSE),AF$5*$S57/$T$4*$AC$1)</f>
        <v>0</v>
      </c>
      <c r="AG57" s="2">
        <f>+IF($D57&lt;&gt;"",AG$6*$T57/$T$4*VLOOKUP($M57,CÁRNICOS!$CD$13:$CJ$48,3,FALSE),AG$5*$T57/$T$4*$AC$1)</f>
        <v>0</v>
      </c>
      <c r="AH57" s="120">
        <f>IF($F57&lt;&gt;"",0,SUM(AC57:AG57))</f>
        <v>0</v>
      </c>
      <c r="AI57" s="149">
        <f>+ROUNDUP(AH57/AI$4,0)</f>
        <v>0</v>
      </c>
      <c r="AJ57" s="120">
        <f>+IF(AH57*AI57=0,0,(ROUNDUP(AH57/AI57,3)))</f>
        <v>0</v>
      </c>
      <c r="AK57" s="2">
        <f>+IF($D57&lt;&gt;"",AK$6*$P57/$T$4*VLOOKUP($M57,CÁRNICOS!$CD$13:$CJ$48,4,FALSE),AK$5*$P57/$T$4*$AK$1)</f>
        <v>0</v>
      </c>
      <c r="AL57" s="2">
        <f>+IF($D57&lt;&gt;"",AL$6*$Q57/$T$4*VLOOKUP($M57,CÁRNICOS!$CD$13:$CJ$48,4,FALSE),AL$5*$Q57/$T$4*$AK$1)</f>
        <v>0</v>
      </c>
      <c r="AM57" s="2">
        <f>+IF($D57&lt;&gt;"",AM$6*$R57/$T$4*VLOOKUP($M57,CÁRNICOS!$CD$13:$CJ$48,4,FALSE),AM$5*$R57/$T$4*$AK$1)</f>
        <v>0</v>
      </c>
      <c r="AN57" s="2">
        <f>+IF($D57&lt;&gt;"",AN$6*$S57/$T$4*VLOOKUP($M57,CÁRNICOS!$CD$13:$CJ$48,4,FALSE),AN$5*$S57/$T$4*$AK$1)</f>
        <v>0</v>
      </c>
      <c r="AO57" s="2">
        <f>+IF($D57&lt;&gt;"",AO$6*$T57/$T$4*VLOOKUP($M57,CÁRNICOS!$CD$13:$CJ$48,4,FALSE),AO$5*$T57/$T$4*$AK$1)</f>
        <v>0</v>
      </c>
      <c r="AP57" s="120">
        <f>IF($G57&lt;&gt;"",0,SUM(AK57:AO57))</f>
        <v>0</v>
      </c>
      <c r="AQ57" s="149">
        <f>+ROUNDUP(AP57/AQ$4,0)</f>
        <v>0</v>
      </c>
      <c r="AR57" s="120">
        <f>+IF(AP57*AQ57=0,0,(ROUNDUP(AP57/AQ57,3)))</f>
        <v>0</v>
      </c>
      <c r="AS57" s="2">
        <f>+IF($D57&lt;&gt;"",AS$6*$P57/$T$4*VLOOKUP($M57,CÁRNICOS!$CD$13:$CJ$48,5,FALSE),AS$5*$P57/$T$4*$AS$1)</f>
        <v>0</v>
      </c>
      <c r="AT57" s="2">
        <f>+IF($D57&lt;&gt;"",AT$6*$Q57/$T$4*VLOOKUP($M57,CÁRNICOS!$CD$13:$CJ$48,5,FALSE),AT$5*$Q57/$T$4*$AS$1)</f>
        <v>0</v>
      </c>
      <c r="AU57" s="2">
        <f>+IF($D57&lt;&gt;"",AU$6*$R57/$T$4*VLOOKUP($M57,CÁRNICOS!$CD$13:$CJ$48,5,FALSE),AU$5*$R57/$T$4*$AS$1)</f>
        <v>1.2350000000000001</v>
      </c>
      <c r="AV57" s="2">
        <f>+IF($D57&lt;&gt;"",AV$6*$S57/$T$4*VLOOKUP($M57,CÁRNICOS!$CD$13:$CJ$48,5,FALSE),AV$5*$S57/$T$4*$AS$1)</f>
        <v>0</v>
      </c>
      <c r="AW57" s="2">
        <f>+IF($D57&lt;&gt;"",AW$6*$T57/$T$4*VLOOKUP($M57,CÁRNICOS!$CD$13:$CJ$48,5,FALSE),AW$5*$T57/$T$4*$AS$1)</f>
        <v>0</v>
      </c>
      <c r="AX57" s="120">
        <f>IF($H57&lt;&gt;"",0,SUM(AS57:AW57))</f>
        <v>1.2350000000000001</v>
      </c>
      <c r="AY57" s="149">
        <f>+ROUNDUP(AX57/AY$4,0)</f>
        <v>1</v>
      </c>
      <c r="AZ57" s="120">
        <f>+IF(AX57*AY57=0,0,(ROUNDUP(AX57/AY57,3)))</f>
        <v>1.2350000000000001</v>
      </c>
      <c r="BA57" s="2">
        <f>+IF($D57&lt;&gt;"",BA$6*$P57/$T$4*VLOOKUP($M57,CÁRNICOS!$CD$13:$CJ$48,6,FALSE),BA$5*$P57/$T$4*$BA$1)</f>
        <v>0</v>
      </c>
      <c r="BB57" s="2">
        <f>+IF($D57&lt;&gt;"",BB$6*$Q57/$T$4*VLOOKUP($M57,CÁRNICOS!$CD$13:$CJ$48,6,FALSE),BB$5*$Q57/$T$4*$BA$1)</f>
        <v>0</v>
      </c>
      <c r="BC57" s="2">
        <f>+IF($D57&lt;&gt;"",BC$6*$R57/$T$4*VLOOKUP($M57,CÁRNICOS!$CD$13:$CJ$48,6,FALSE),BC$5*$R57/$T$4*$BA$1)</f>
        <v>0</v>
      </c>
      <c r="BD57" s="2">
        <f>+IF($D57&lt;&gt;"",BD$6*$S57/$T$4*VLOOKUP($M57,CÁRNICOS!$CD$13:$CJ$48,6,FALSE),BD$5*$S57/$T$4*$BA$1)</f>
        <v>0</v>
      </c>
      <c r="BE57" s="2">
        <f>+IF($D57&lt;&gt;"",BE$6*$T57/$T$4*VLOOKUP($M57,CÁRNICOS!$CD$13:$CJ$48,6,FALSE),BE$5*$T57/$T$4*$BA$1)</f>
        <v>0</v>
      </c>
      <c r="BF57" s="120">
        <f t="shared" si="32"/>
        <v>0</v>
      </c>
      <c r="BG57" s="149">
        <f t="shared" si="33"/>
        <v>0</v>
      </c>
      <c r="BH57" s="120">
        <f t="shared" si="34"/>
        <v>0</v>
      </c>
      <c r="BI57" s="2">
        <f>+IF($D57&lt;&gt;"",BI$6*$P57/$T$4*VLOOKUP($M57,CÁRNICOS!$CD$13:$CJ$48,7,FALSE),BI$5*$P57/$T$4*$BI$1)</f>
        <v>0</v>
      </c>
      <c r="BJ57" s="2">
        <f>+IF($D57&lt;&gt;"",BJ$6*$Q57/$T$4*VLOOKUP($M57,CÁRNICOS!$CD$13:$CJ$48,7,FALSE),BJ$5*$Q57/$T$4*$BI$1)</f>
        <v>0</v>
      </c>
      <c r="BK57" s="2">
        <f>+IF($D57&lt;&gt;"",BK$6*$R57/$T$4*VLOOKUP($M57,CÁRNICOS!$CD$13:$CJ$48,7,FALSE),BK$5*$R57/$T$4*$BI$1)</f>
        <v>0</v>
      </c>
      <c r="BL57" s="2">
        <f>+IF($D57&lt;&gt;"",BL$6*$S57/$T$4*VLOOKUP($M57,CÁRNICOS!$CD$13:$CJ$48,7,FALSE),BL$5*$S57/$T$4*$BI$1)</f>
        <v>0</v>
      </c>
      <c r="BM57" s="2">
        <f>+IF($D57&lt;&gt;"",BM$6*$T57/$T$4*VLOOKUP($M57,CÁRNICOS!$CD$13:$CJ$48,7,FALSE),BM$5*$T57/$T$4*$BI$1)</f>
        <v>0</v>
      </c>
      <c r="BN57" s="120">
        <f t="shared" si="35"/>
        <v>0</v>
      </c>
      <c r="BO57" s="149">
        <f t="shared" si="37"/>
        <v>0</v>
      </c>
      <c r="BP57" s="120">
        <f t="shared" si="38"/>
        <v>0</v>
      </c>
      <c r="BR57" s="74">
        <f t="shared" si="39"/>
        <v>7</v>
      </c>
      <c r="BS57" s="74" t="str">
        <f t="shared" si="40"/>
        <v>SAMANÁ</v>
      </c>
      <c r="BT57" s="74" t="str">
        <f t="shared" si="41"/>
        <v>INSTITUCION EDUCATIVA SAN AGUSTIN</v>
      </c>
      <c r="BU57" s="74" t="str">
        <f t="shared" si="42"/>
        <v>ESCUELA DANIEL MARÍA LÓPEZ</v>
      </c>
      <c r="BV57" s="74">
        <f t="shared" si="43"/>
        <v>0</v>
      </c>
      <c r="BW57" s="74">
        <f t="shared" si="44"/>
        <v>0</v>
      </c>
      <c r="BX57" s="74">
        <f t="shared" si="45"/>
        <v>0</v>
      </c>
      <c r="BY57" s="74">
        <f t="shared" si="46"/>
        <v>1.2350000000000001</v>
      </c>
      <c r="BZ57" s="74">
        <f t="shared" si="47"/>
        <v>0</v>
      </c>
      <c r="CA57" s="74">
        <f t="shared" si="48"/>
        <v>0</v>
      </c>
      <c r="CD57" s="57"/>
      <c r="CE57" s="57"/>
      <c r="CF57" s="57"/>
      <c r="CG57" s="57"/>
      <c r="CH57" s="57"/>
      <c r="CI57" s="57"/>
      <c r="CJ57" s="57"/>
    </row>
    <row r="58" spans="1:88" ht="29.95" customHeight="1" x14ac:dyDescent="0.3">
      <c r="B58" s="46">
        <f>+COUNTIF($M$8:M58,M58)</f>
        <v>2</v>
      </c>
      <c r="C58" s="14">
        <f>SUM(P58:T58)</f>
        <v>62</v>
      </c>
      <c r="D58" s="22" t="s">
        <v>73</v>
      </c>
      <c r="E58" s="124"/>
      <c r="F58" s="60"/>
      <c r="G58" s="60"/>
      <c r="H58" s="60"/>
      <c r="I58" s="60"/>
      <c r="J58" s="60"/>
      <c r="K58" s="59"/>
      <c r="L58" s="122">
        <v>7</v>
      </c>
      <c r="M58" s="162" t="s">
        <v>9</v>
      </c>
      <c r="N58" s="162" t="s">
        <v>10</v>
      </c>
      <c r="O58" s="163" t="s">
        <v>11</v>
      </c>
      <c r="P58" s="74">
        <v>0</v>
      </c>
      <c r="Q58" s="74">
        <v>62</v>
      </c>
      <c r="R58" s="139">
        <v>0</v>
      </c>
      <c r="S58" s="74">
        <v>0</v>
      </c>
      <c r="T58" s="74">
        <v>0</v>
      </c>
      <c r="U58" s="2">
        <f>+IF($D58&lt;&gt;"",U$6*$P58/$T$4*VLOOKUP($M58,CÁRNICOS!$CD$13:$CJ$48,2,FALSE),U$5*$P58/$T$4*$U$1)</f>
        <v>0</v>
      </c>
      <c r="V58" s="2">
        <f>+IF($D58&lt;&gt;"",V$6*$Q58/$T$4*VLOOKUP($M58,CÁRNICOS!$CD$13:$CJ$48,2,FALSE),V$5*$Q58/$T$4*$U$1)</f>
        <v>0</v>
      </c>
      <c r="W58" s="2">
        <f>+IF($D58&lt;&gt;"",W$6*$R58/$T$4*VLOOKUP($M58,CÁRNICOS!$CD$13:$CJ$48,2,FALSE),W$5*$R58/$T$4*$U$1)</f>
        <v>0</v>
      </c>
      <c r="X58" s="2">
        <f>+IF($D58&lt;&gt;"",X$6*$S58/$T$4*VLOOKUP($M58,CÁRNICOS!$CD$13:$CJ$48,2,FALSE),X$5*$S58/$T$4*$U$1)</f>
        <v>0</v>
      </c>
      <c r="Y58" s="2">
        <f>+IF($D58&lt;&gt;"",Y$6*$T58/$T$4*VLOOKUP($M58,CÁRNICOS!$CD$13:$CJ$48,2,FALSE),Y$5*$T58/$T$4*$U$1)</f>
        <v>0</v>
      </c>
      <c r="Z58" s="146">
        <f>IF($E58&lt;&gt;"",0,SUM(U58:Y58))</f>
        <v>0</v>
      </c>
      <c r="AA58" s="149">
        <f>+ROUNDUP(Z58/AA$4,0)</f>
        <v>0</v>
      </c>
      <c r="AB58" s="120">
        <f>+IF(Z58*AA58=0,0,(ROUNDUP(Z58/AA58,3)))</f>
        <v>0</v>
      </c>
      <c r="AC58" s="147">
        <f>+IF($D58&lt;&gt;"",AC$6*$P58/$T$4*VLOOKUP($M58,CÁRNICOS!$CD$13:$CJ$48,3,FALSE),AC$5*$P58/$T$4*$AC$1)</f>
        <v>0</v>
      </c>
      <c r="AD58" s="147">
        <f>+IF($D58&lt;&gt;"",AD$6*$Q58/$T$4*VLOOKUP($M58,CÁRNICOS!$CD$13:$CJ$48,3,FALSE),AD$5*$Q58/$T$4*$AC$1)</f>
        <v>0</v>
      </c>
      <c r="AE58" s="2">
        <f>+IF($D58&lt;&gt;"",AE$6*$R58/$T$4*VLOOKUP($M58,CÁRNICOS!$CD$13:$CJ$48,3,FALSE),AE$5*$R58/$T$4*$AC$1)</f>
        <v>0</v>
      </c>
      <c r="AF58" s="2">
        <f>+IF($D58&lt;&gt;"",AF$6*$S58/$T$4*VLOOKUP($M58,CÁRNICOS!$CD$13:$CJ$48,3,FALSE),AF$5*$S58/$T$4*$AC$1)</f>
        <v>0</v>
      </c>
      <c r="AG58" s="2">
        <f>+IF($D58&lt;&gt;"",AG$6*$T58/$T$4*VLOOKUP($M58,CÁRNICOS!$CD$13:$CJ$48,3,FALSE),AG$5*$T58/$T$4*$AC$1)</f>
        <v>0</v>
      </c>
      <c r="AH58" s="120">
        <f>IF($F58&lt;&gt;"",0,SUM(AC58:AG58))</f>
        <v>0</v>
      </c>
      <c r="AI58" s="149">
        <f>+ROUNDUP(AH58/AI$4,0)</f>
        <v>0</v>
      </c>
      <c r="AJ58" s="120">
        <f>+IF(AH58*AI58=0,0,(ROUNDUP(AH58/AI58,3)))</f>
        <v>0</v>
      </c>
      <c r="AK58" s="2">
        <f>+IF($D58&lt;&gt;"",AK$6*$P58/$T$4*VLOOKUP($M58,CÁRNICOS!$CD$13:$CJ$48,4,FALSE),AK$5*$P58/$T$4*$AK$1)</f>
        <v>0</v>
      </c>
      <c r="AL58" s="2">
        <f>+IF($D58&lt;&gt;"",AL$6*$Q58/$T$4*VLOOKUP($M58,CÁRNICOS!$CD$13:$CJ$48,4,FALSE),AL$5*$Q58/$T$4*$AK$1)</f>
        <v>0</v>
      </c>
      <c r="AM58" s="2">
        <f>+IF($D58&lt;&gt;"",AM$6*$R58/$T$4*VLOOKUP($M58,CÁRNICOS!$CD$13:$CJ$48,4,FALSE),AM$5*$R58/$T$4*$AK$1)</f>
        <v>0</v>
      </c>
      <c r="AN58" s="2">
        <f>+IF($D58&lt;&gt;"",AN$6*$S58/$T$4*VLOOKUP($M58,CÁRNICOS!$CD$13:$CJ$48,4,FALSE),AN$5*$S58/$T$4*$AK$1)</f>
        <v>0</v>
      </c>
      <c r="AO58" s="2">
        <f>+IF($D58&lt;&gt;"",AO$6*$T58/$T$4*VLOOKUP($M58,CÁRNICOS!$CD$13:$CJ$48,4,FALSE),AO$5*$T58/$T$4*$AK$1)</f>
        <v>0</v>
      </c>
      <c r="AP58" s="120">
        <f>IF($G58&lt;&gt;"",0,SUM(AK58:AO58))</f>
        <v>0</v>
      </c>
      <c r="AQ58" s="149">
        <f>+ROUNDUP(AP58/AQ$4,0)</f>
        <v>0</v>
      </c>
      <c r="AR58" s="120">
        <f>+IF(AP58*AQ58=0,0,(ROUNDUP(AP58/AQ58,3)))</f>
        <v>0</v>
      </c>
      <c r="AS58" s="2">
        <f>+IF($D58&lt;&gt;"",AS$6*$P58/$T$4*VLOOKUP($M58,CÁRNICOS!$CD$13:$CJ$48,5,FALSE),AS$5*$P58/$T$4*$AS$1)</f>
        <v>0</v>
      </c>
      <c r="AT58" s="2">
        <f>+IF($D58&lt;&gt;"",AT$6*$Q58/$T$4*VLOOKUP($M58,CÁRNICOS!$CD$13:$CJ$48,5,FALSE),AT$5*$Q58/$T$4*$AS$1)</f>
        <v>3.3479999999999999</v>
      </c>
      <c r="AU58" s="2">
        <f>+IF($D58&lt;&gt;"",AU$6*$R58/$T$4*VLOOKUP($M58,CÁRNICOS!$CD$13:$CJ$48,5,FALSE),AU$5*$R58/$T$4*$AS$1)</f>
        <v>0</v>
      </c>
      <c r="AV58" s="2">
        <f>+IF($D58&lt;&gt;"",AV$6*$S58/$T$4*VLOOKUP($M58,CÁRNICOS!$CD$13:$CJ$48,5,FALSE),AV$5*$S58/$T$4*$AS$1)</f>
        <v>0</v>
      </c>
      <c r="AW58" s="2">
        <f>+IF($D58&lt;&gt;"",AW$6*$T58/$T$4*VLOOKUP($M58,CÁRNICOS!$CD$13:$CJ$48,5,FALSE),AW$5*$T58/$T$4*$AS$1)</f>
        <v>0</v>
      </c>
      <c r="AX58" s="120">
        <f>IF($H58&lt;&gt;"",0,SUM(AS58:AW58))</f>
        <v>3.3479999999999999</v>
      </c>
      <c r="AY58" s="149">
        <f>+ROUNDUP(AX58/AY$4,0)</f>
        <v>1</v>
      </c>
      <c r="AZ58" s="120">
        <f>+IF(AX58*AY58=0,0,(ROUNDUP(AX58/AY58,3)))</f>
        <v>3.3479999999999999</v>
      </c>
      <c r="BA58" s="2">
        <f>+IF($D58&lt;&gt;"",BA$6*$P58/$T$4*VLOOKUP($M58,CÁRNICOS!$CD$13:$CJ$48,6,FALSE),BA$5*$P58/$T$4*$BA$1)</f>
        <v>0</v>
      </c>
      <c r="BB58" s="2">
        <f>+IF($D58&lt;&gt;"",BB$6*$Q58/$T$4*VLOOKUP($M58,CÁRNICOS!$CD$13:$CJ$48,6,FALSE),BB$5*$Q58/$T$4*$BA$1)</f>
        <v>0</v>
      </c>
      <c r="BC58" s="2">
        <f>+IF($D58&lt;&gt;"",BC$6*$R58/$T$4*VLOOKUP($M58,CÁRNICOS!$CD$13:$CJ$48,6,FALSE),BC$5*$R58/$T$4*$BA$1)</f>
        <v>0</v>
      </c>
      <c r="BD58" s="2">
        <f>+IF($D58&lt;&gt;"",BD$6*$S58/$T$4*VLOOKUP($M58,CÁRNICOS!$CD$13:$CJ$48,6,FALSE),BD$5*$S58/$T$4*$BA$1)</f>
        <v>0</v>
      </c>
      <c r="BE58" s="2">
        <f>+IF($D58&lt;&gt;"",BE$6*$T58/$T$4*VLOOKUP($M58,CÁRNICOS!$CD$13:$CJ$48,6,FALSE),BE$5*$T58/$T$4*$BA$1)</f>
        <v>0</v>
      </c>
      <c r="BF58" s="120">
        <f t="shared" si="32"/>
        <v>0</v>
      </c>
      <c r="BG58" s="149">
        <f t="shared" si="33"/>
        <v>0</v>
      </c>
      <c r="BH58" s="120">
        <f t="shared" si="34"/>
        <v>0</v>
      </c>
      <c r="BI58" s="2">
        <f>+IF($D58&lt;&gt;"",BI$6*$P58/$T$4*VLOOKUP($M58,CÁRNICOS!$CD$13:$CJ$48,7,FALSE),BI$5*$P58/$T$4*$BI$1)</f>
        <v>0</v>
      </c>
      <c r="BJ58" s="2">
        <f>+IF($D58&lt;&gt;"",BJ$6*$Q58/$T$4*VLOOKUP($M58,CÁRNICOS!$CD$13:$CJ$48,7,FALSE),BJ$5*$Q58/$T$4*$BI$1)</f>
        <v>0</v>
      </c>
      <c r="BK58" s="2">
        <f>+IF($D58&lt;&gt;"",BK$6*$R58/$T$4*VLOOKUP($M58,CÁRNICOS!$CD$13:$CJ$48,7,FALSE),BK$5*$R58/$T$4*$BI$1)</f>
        <v>0</v>
      </c>
      <c r="BL58" s="2">
        <f>+IF($D58&lt;&gt;"",BL$6*$S58/$T$4*VLOOKUP($M58,CÁRNICOS!$CD$13:$CJ$48,7,FALSE),BL$5*$S58/$T$4*$BI$1)</f>
        <v>0</v>
      </c>
      <c r="BM58" s="2">
        <f>+IF($D58&lt;&gt;"",BM$6*$T58/$T$4*VLOOKUP($M58,CÁRNICOS!$CD$13:$CJ$48,7,FALSE),BM$5*$T58/$T$4*$BI$1)</f>
        <v>0</v>
      </c>
      <c r="BN58" s="120">
        <f t="shared" si="35"/>
        <v>0</v>
      </c>
      <c r="BO58" s="149">
        <f t="shared" si="37"/>
        <v>0</v>
      </c>
      <c r="BP58" s="120">
        <f t="shared" si="38"/>
        <v>0</v>
      </c>
      <c r="BR58" s="74">
        <f t="shared" si="39"/>
        <v>7</v>
      </c>
      <c r="BS58" s="74" t="str">
        <f t="shared" si="40"/>
        <v>SAMANÁ</v>
      </c>
      <c r="BT58" s="74" t="str">
        <f t="shared" si="41"/>
        <v>INSTITUCION EDUCATIVA SAN AGUSTIN</v>
      </c>
      <c r="BU58" s="74" t="str">
        <f t="shared" si="42"/>
        <v>ESCUELA FRANCISCO JOSÉ DE CALDAS</v>
      </c>
      <c r="BV58" s="74">
        <f t="shared" si="43"/>
        <v>0</v>
      </c>
      <c r="BW58" s="74">
        <f t="shared" si="44"/>
        <v>0</v>
      </c>
      <c r="BX58" s="74">
        <f t="shared" si="45"/>
        <v>0</v>
      </c>
      <c r="BY58" s="74">
        <f t="shared" si="46"/>
        <v>3.3479999999999999</v>
      </c>
      <c r="BZ58" s="74">
        <f t="shared" si="47"/>
        <v>0</v>
      </c>
      <c r="CA58" s="74">
        <f t="shared" si="48"/>
        <v>0</v>
      </c>
    </row>
    <row r="59" spans="1:88" ht="29.95" customHeight="1" x14ac:dyDescent="0.3">
      <c r="B59" s="46">
        <f>+COUNTIF($M$8:M59,M59)</f>
        <v>3</v>
      </c>
      <c r="C59" s="14">
        <f>SUM(P59:T59)</f>
        <v>45</v>
      </c>
      <c r="D59" s="22" t="s">
        <v>73</v>
      </c>
      <c r="E59" s="124"/>
      <c r="F59" s="60"/>
      <c r="G59" s="60"/>
      <c r="H59" s="60"/>
      <c r="I59" s="60"/>
      <c r="J59" s="60"/>
      <c r="K59" s="59"/>
      <c r="L59" s="122">
        <v>7</v>
      </c>
      <c r="M59" s="162" t="s">
        <v>9</v>
      </c>
      <c r="N59" s="162" t="s">
        <v>10</v>
      </c>
      <c r="O59" s="163" t="s">
        <v>229</v>
      </c>
      <c r="P59" s="74">
        <v>0</v>
      </c>
      <c r="Q59" s="74">
        <v>0</v>
      </c>
      <c r="R59" s="139">
        <v>0</v>
      </c>
      <c r="S59" s="74">
        <v>30</v>
      </c>
      <c r="T59" s="74">
        <v>15</v>
      </c>
      <c r="U59" s="2">
        <f>+IF($D59&lt;&gt;"",U$6*$P59/$T$4*VLOOKUP($M59,CÁRNICOS!$CD$13:$CJ$48,2,FALSE),U$5*$P59/$T$4*$U$1)</f>
        <v>0</v>
      </c>
      <c r="V59" s="2">
        <f>+IF($D59&lt;&gt;"",V$6*$Q59/$T$4*VLOOKUP($M59,CÁRNICOS!$CD$13:$CJ$48,2,FALSE),V$5*$Q59/$T$4*$U$1)</f>
        <v>0</v>
      </c>
      <c r="W59" s="2">
        <f>+IF($D59&lt;&gt;"",W$6*$R59/$T$4*VLOOKUP($M59,CÁRNICOS!$CD$13:$CJ$48,2,FALSE),W$5*$R59/$T$4*$U$1)</f>
        <v>0</v>
      </c>
      <c r="X59" s="2">
        <f>+IF($D59&lt;&gt;"",X$6*$S59/$T$4*VLOOKUP($M59,CÁRNICOS!$CD$13:$CJ$48,2,FALSE),X$5*$S59/$T$4*$U$1)</f>
        <v>0</v>
      </c>
      <c r="Y59" s="2">
        <f>+IF($D59&lt;&gt;"",Y$6*$T59/$T$4*VLOOKUP($M59,CÁRNICOS!$CD$13:$CJ$48,2,FALSE),Y$5*$T59/$T$4*$U$1)</f>
        <v>0</v>
      </c>
      <c r="Z59" s="146">
        <f>IF($E59&lt;&gt;"",0,SUM(U59:Y59))</f>
        <v>0</v>
      </c>
      <c r="AA59" s="149">
        <f>+ROUNDUP(Z59/AA$4,0)</f>
        <v>0</v>
      </c>
      <c r="AB59" s="120">
        <f>+IF(Z59*AA59=0,0,(ROUNDUP(Z59/AA59,3)))</f>
        <v>0</v>
      </c>
      <c r="AC59" s="147">
        <f>+IF($D59&lt;&gt;"",AC$6*$P59/$T$4*VLOOKUP($M59,CÁRNICOS!$CD$13:$CJ$48,3,FALSE),AC$5*$P59/$T$4*$AC$1)</f>
        <v>0</v>
      </c>
      <c r="AD59" s="147">
        <f>+IF($D59&lt;&gt;"",AD$6*$Q59/$T$4*VLOOKUP($M59,CÁRNICOS!$CD$13:$CJ$48,3,FALSE),AD$5*$Q59/$T$4*$AC$1)</f>
        <v>0</v>
      </c>
      <c r="AE59" s="2">
        <f>+IF($D59&lt;&gt;"",AE$6*$R59/$T$4*VLOOKUP($M59,CÁRNICOS!$CD$13:$CJ$48,3,FALSE),AE$5*$R59/$T$4*$AC$1)</f>
        <v>0</v>
      </c>
      <c r="AF59" s="2">
        <f>+IF($D59&lt;&gt;"",AF$6*$S59/$T$4*VLOOKUP($M59,CÁRNICOS!$CD$13:$CJ$48,3,FALSE),AF$5*$S59/$T$4*$AC$1)</f>
        <v>0</v>
      </c>
      <c r="AG59" s="2">
        <f>+IF($D59&lt;&gt;"",AG$6*$T59/$T$4*VLOOKUP($M59,CÁRNICOS!$CD$13:$CJ$48,3,FALSE),AG$5*$T59/$T$4*$AC$1)</f>
        <v>0</v>
      </c>
      <c r="AH59" s="120">
        <f>IF($F59&lt;&gt;"",0,SUM(AC59:AG59))</f>
        <v>0</v>
      </c>
      <c r="AI59" s="149">
        <f>+ROUNDUP(AH59/AI$4,0)</f>
        <v>0</v>
      </c>
      <c r="AJ59" s="120">
        <f>+IF(AH59*AI59=0,0,(ROUNDUP(AH59/AI59,3)))</f>
        <v>0</v>
      </c>
      <c r="AK59" s="2">
        <f>+IF($D59&lt;&gt;"",AK$6*$P59/$T$4*VLOOKUP($M59,CÁRNICOS!$CD$13:$CJ$48,4,FALSE),AK$5*$P59/$T$4*$AK$1)</f>
        <v>0</v>
      </c>
      <c r="AL59" s="2">
        <f>+IF($D59&lt;&gt;"",AL$6*$Q59/$T$4*VLOOKUP($M59,CÁRNICOS!$CD$13:$CJ$48,4,FALSE),AL$5*$Q59/$T$4*$AK$1)</f>
        <v>0</v>
      </c>
      <c r="AM59" s="2">
        <f>+IF($D59&lt;&gt;"",AM$6*$R59/$T$4*VLOOKUP($M59,CÁRNICOS!$CD$13:$CJ$48,4,FALSE),AM$5*$R59/$T$4*$AK$1)</f>
        <v>0</v>
      </c>
      <c r="AN59" s="2">
        <f>+IF($D59&lt;&gt;"",AN$6*$S59/$T$4*VLOOKUP($M59,CÁRNICOS!$CD$13:$CJ$48,4,FALSE),AN$5*$S59/$T$4*$AK$1)</f>
        <v>0</v>
      </c>
      <c r="AO59" s="2">
        <f>+IF($D59&lt;&gt;"",AO$6*$T59/$T$4*VLOOKUP($M59,CÁRNICOS!$CD$13:$CJ$48,4,FALSE),AO$5*$T59/$T$4*$AK$1)</f>
        <v>0</v>
      </c>
      <c r="AP59" s="120">
        <f>IF($G59&lt;&gt;"",0,SUM(AK59:AO59))</f>
        <v>0</v>
      </c>
      <c r="AQ59" s="149">
        <f>+ROUNDUP(AP59/AQ$4,0)</f>
        <v>0</v>
      </c>
      <c r="AR59" s="120">
        <f>+IF(AP59*AQ59=0,0,(ROUNDUP(AP59/AQ59,3)))</f>
        <v>0</v>
      </c>
      <c r="AS59" s="2">
        <f>+IF($D59&lt;&gt;"",AS$6*$P59/$T$4*VLOOKUP($M59,CÁRNICOS!$CD$13:$CJ$48,5,FALSE),AS$5*$P59/$T$4*$AS$1)</f>
        <v>0</v>
      </c>
      <c r="AT59" s="2">
        <f>+IF($D59&lt;&gt;"",AT$6*$Q59/$T$4*VLOOKUP($M59,CÁRNICOS!$CD$13:$CJ$48,5,FALSE),AT$5*$Q59/$T$4*$AS$1)</f>
        <v>0</v>
      </c>
      <c r="AU59" s="2">
        <f>+IF($D59&lt;&gt;"",AU$6*$R59/$T$4*VLOOKUP($M59,CÁRNICOS!$CD$13:$CJ$48,5,FALSE),AU$5*$R59/$T$4*$AS$1)</f>
        <v>0</v>
      </c>
      <c r="AV59" s="2">
        <f>+IF($D59&lt;&gt;"",AV$6*$S59/$T$4*VLOOKUP($M59,CÁRNICOS!$CD$13:$CJ$48,5,FALSE),AV$5*$S59/$T$4*$AS$1)</f>
        <v>2.4</v>
      </c>
      <c r="AW59" s="2">
        <f>+IF($D59&lt;&gt;"",AW$6*$T59/$T$4*VLOOKUP($M59,CÁRNICOS!$CD$13:$CJ$48,5,FALSE),AW$5*$T59/$T$4*$AS$1)</f>
        <v>1.5</v>
      </c>
      <c r="AX59" s="120">
        <f>IF($H59&lt;&gt;"",0,SUM(AS59:AW59))</f>
        <v>3.9</v>
      </c>
      <c r="AY59" s="149">
        <f>+ROUNDUP(AX59/AY$4,0)</f>
        <v>1</v>
      </c>
      <c r="AZ59" s="120">
        <f>+IF(AX59*AY59=0,0,(ROUNDUP(AX59/AY59,3)))</f>
        <v>3.9</v>
      </c>
      <c r="BA59" s="2">
        <f>+IF($D59&lt;&gt;"",BA$6*$P59/$T$4*VLOOKUP($M59,CÁRNICOS!$CD$13:$CJ$48,6,FALSE),BA$5*$P59/$T$4*$BA$1)</f>
        <v>0</v>
      </c>
      <c r="BB59" s="2">
        <f>+IF($D59&lt;&gt;"",BB$6*$Q59/$T$4*VLOOKUP($M59,CÁRNICOS!$CD$13:$CJ$48,6,FALSE),BB$5*$Q59/$T$4*$BA$1)</f>
        <v>0</v>
      </c>
      <c r="BC59" s="2">
        <f>+IF($D59&lt;&gt;"",BC$6*$R59/$T$4*VLOOKUP($M59,CÁRNICOS!$CD$13:$CJ$48,6,FALSE),BC$5*$R59/$T$4*$BA$1)</f>
        <v>0</v>
      </c>
      <c r="BD59" s="2">
        <f>+IF($D59&lt;&gt;"",BD$6*$S59/$T$4*VLOOKUP($M59,CÁRNICOS!$CD$13:$CJ$48,6,FALSE),BD$5*$S59/$T$4*$BA$1)</f>
        <v>0</v>
      </c>
      <c r="BE59" s="2">
        <f>+IF($D59&lt;&gt;"",BE$6*$T59/$T$4*VLOOKUP($M59,CÁRNICOS!$CD$13:$CJ$48,6,FALSE),BE$5*$T59/$T$4*$BA$1)</f>
        <v>0</v>
      </c>
      <c r="BF59" s="120">
        <f t="shared" si="32"/>
        <v>0</v>
      </c>
      <c r="BG59" s="149">
        <f t="shared" si="33"/>
        <v>0</v>
      </c>
      <c r="BH59" s="120">
        <f t="shared" si="34"/>
        <v>0</v>
      </c>
      <c r="BI59" s="2">
        <f>+IF($D59&lt;&gt;"",BI$6*$P59/$T$4*VLOOKUP($M59,CÁRNICOS!$CD$13:$CJ$48,7,FALSE),BI$5*$P59/$T$4*$BI$1)</f>
        <v>0</v>
      </c>
      <c r="BJ59" s="2">
        <f>+IF($D59&lt;&gt;"",BJ$6*$Q59/$T$4*VLOOKUP($M59,CÁRNICOS!$CD$13:$CJ$48,7,FALSE),BJ$5*$Q59/$T$4*$BI$1)</f>
        <v>0</v>
      </c>
      <c r="BK59" s="2">
        <f>+IF($D59&lt;&gt;"",BK$6*$R59/$T$4*VLOOKUP($M59,CÁRNICOS!$CD$13:$CJ$48,7,FALSE),BK$5*$R59/$T$4*$BI$1)</f>
        <v>0</v>
      </c>
      <c r="BL59" s="2">
        <f>+IF($D59&lt;&gt;"",BL$6*$S59/$T$4*VLOOKUP($M59,CÁRNICOS!$CD$13:$CJ$48,7,FALSE),BL$5*$S59/$T$4*$BI$1)</f>
        <v>0</v>
      </c>
      <c r="BM59" s="2">
        <f>+IF($D59&lt;&gt;"",BM$6*$T59/$T$4*VLOOKUP($M59,CÁRNICOS!$CD$13:$CJ$48,7,FALSE),BM$5*$T59/$T$4*$BI$1)</f>
        <v>0</v>
      </c>
      <c r="BN59" s="120">
        <f t="shared" si="35"/>
        <v>0</v>
      </c>
      <c r="BO59" s="149">
        <f t="shared" si="37"/>
        <v>0</v>
      </c>
      <c r="BP59" s="120">
        <f t="shared" si="38"/>
        <v>0</v>
      </c>
      <c r="BR59" s="74">
        <f t="shared" si="39"/>
        <v>7</v>
      </c>
      <c r="BS59" s="74" t="str">
        <f t="shared" si="40"/>
        <v>SAMANÁ</v>
      </c>
      <c r="BT59" s="74" t="str">
        <f t="shared" si="41"/>
        <v>INSTITUCION EDUCATIVA SAN AGUSTIN</v>
      </c>
      <c r="BU59" s="74" t="str">
        <f t="shared" si="42"/>
        <v>INSTITUCION EDUCATIVA SAN AGUSTIN - SEDE PRINCIPAL</v>
      </c>
      <c r="BV59" s="74">
        <f t="shared" si="43"/>
        <v>0</v>
      </c>
      <c r="BW59" s="74">
        <f t="shared" si="44"/>
        <v>0</v>
      </c>
      <c r="BX59" s="74">
        <f t="shared" si="45"/>
        <v>0</v>
      </c>
      <c r="BY59" s="74">
        <f t="shared" si="46"/>
        <v>3.9</v>
      </c>
      <c r="BZ59" s="74">
        <f t="shared" si="47"/>
        <v>0</v>
      </c>
      <c r="CA59" s="74">
        <f t="shared" si="48"/>
        <v>0</v>
      </c>
    </row>
    <row r="60" spans="1:88" ht="29.95" customHeight="1" x14ac:dyDescent="0.3">
      <c r="B60" s="46">
        <f>+COUNTIF($M$8:M60,M60)</f>
        <v>1</v>
      </c>
      <c r="C60" s="14">
        <f>SUM(P60:T60)</f>
        <v>11</v>
      </c>
      <c r="D60" s="22" t="s">
        <v>73</v>
      </c>
      <c r="E60" s="124"/>
      <c r="F60" s="60"/>
      <c r="G60" s="60"/>
      <c r="H60" s="60"/>
      <c r="I60" s="60"/>
      <c r="J60" s="60"/>
      <c r="K60" s="59"/>
      <c r="L60" s="122" t="s">
        <v>75</v>
      </c>
      <c r="M60" s="162" t="s">
        <v>127</v>
      </c>
      <c r="N60" s="162" t="s">
        <v>12</v>
      </c>
      <c r="O60" s="163" t="s">
        <v>13</v>
      </c>
      <c r="P60" s="74">
        <v>5</v>
      </c>
      <c r="Q60" s="74">
        <v>6</v>
      </c>
      <c r="R60" s="139">
        <v>0</v>
      </c>
      <c r="S60" s="74">
        <v>0</v>
      </c>
      <c r="T60" s="74">
        <v>0</v>
      </c>
      <c r="U60" s="2">
        <f>+IF($D60&lt;&gt;"",U$6*$P60/$T$4*VLOOKUP($M60,CÁRNICOS!$CD$13:$CJ$48,2,FALSE),U$5*$P60/$T$4*$U$1)</f>
        <v>0</v>
      </c>
      <c r="V60" s="2">
        <f>+IF($D60&lt;&gt;"",V$6*$Q60/$T$4*VLOOKUP($M60,CÁRNICOS!$CD$13:$CJ$48,2,FALSE),V$5*$Q60/$T$4*$U$1)</f>
        <v>0</v>
      </c>
      <c r="W60" s="2">
        <f>+IF($D60&lt;&gt;"",W$6*$R60/$T$4*VLOOKUP($M60,CÁRNICOS!$CD$13:$CJ$48,2,FALSE),W$5*$R60/$T$4*$U$1)</f>
        <v>0</v>
      </c>
      <c r="X60" s="2">
        <f>+IF($D60&lt;&gt;"",X$6*$S60/$T$4*VLOOKUP($M60,CÁRNICOS!$CD$13:$CJ$48,2,FALSE),X$5*$S60/$T$4*$U$1)</f>
        <v>0</v>
      </c>
      <c r="Y60" s="2">
        <f>+IF($D60&lt;&gt;"",Y$6*$T60/$T$4*VLOOKUP($M60,CÁRNICOS!$CD$13:$CJ$48,2,FALSE),Y$5*$T60/$T$4*$U$1)</f>
        <v>0</v>
      </c>
      <c r="Z60" s="146">
        <f>IF($E60&lt;&gt;"",0,SUM(U60:Y60))</f>
        <v>0</v>
      </c>
      <c r="AA60" s="149">
        <f>+ROUNDUP(Z60/AA$4,0)</f>
        <v>0</v>
      </c>
      <c r="AB60" s="120">
        <f>+IF(Z60*AA60=0,0,(ROUNDUP(Z60/AA60,3)))</f>
        <v>0</v>
      </c>
      <c r="AC60" s="147">
        <f>+IF($D60&lt;&gt;"",AC$6*$P60/$T$4*VLOOKUP($M60,CÁRNICOS!$CD$13:$CJ$48,3,FALSE),AC$5*$P60/$T$4*$AC$1)</f>
        <v>0</v>
      </c>
      <c r="AD60" s="147">
        <f>+IF($D60&lt;&gt;"",AD$6*$Q60/$T$4*VLOOKUP($M60,CÁRNICOS!$CD$13:$CJ$48,3,FALSE),AD$5*$Q60/$T$4*$AC$1)</f>
        <v>0</v>
      </c>
      <c r="AE60" s="2">
        <f>+IF($D60&lt;&gt;"",AE$6*$R60/$T$4*VLOOKUP($M60,CÁRNICOS!$CD$13:$CJ$48,3,FALSE),AE$5*$R60/$T$4*$AC$1)</f>
        <v>0</v>
      </c>
      <c r="AF60" s="2">
        <f>+IF($D60&lt;&gt;"",AF$6*$S60/$T$4*VLOOKUP($M60,CÁRNICOS!$CD$13:$CJ$48,3,FALSE),AF$5*$S60/$T$4*$AC$1)</f>
        <v>0</v>
      </c>
      <c r="AG60" s="2">
        <f>+IF($D60&lt;&gt;"",AG$6*$T60/$T$4*VLOOKUP($M60,CÁRNICOS!$CD$13:$CJ$48,3,FALSE),AG$5*$T60/$T$4*$AC$1)</f>
        <v>0</v>
      </c>
      <c r="AH60" s="120">
        <f>IF($F60&lt;&gt;"",0,SUM(AC60:AG60))</f>
        <v>0</v>
      </c>
      <c r="AI60" s="149">
        <f>+ROUNDUP(AH60/AI$4,0)</f>
        <v>0</v>
      </c>
      <c r="AJ60" s="120">
        <f>+IF(AH60*AI60=0,0,(ROUNDUP(AH60/AI60,3)))</f>
        <v>0</v>
      </c>
      <c r="AK60" s="2">
        <f>+IF($D60&lt;&gt;"",AK$6*$P60/$T$4*VLOOKUP($M60,CÁRNICOS!$CD$13:$CJ$48,4,FALSE),AK$5*$P60/$T$4*$AK$1)</f>
        <v>0</v>
      </c>
      <c r="AL60" s="2">
        <f>+IF($D60&lt;&gt;"",AL$6*$Q60/$T$4*VLOOKUP($M60,CÁRNICOS!$CD$13:$CJ$48,4,FALSE),AL$5*$Q60/$T$4*$AK$1)</f>
        <v>0</v>
      </c>
      <c r="AM60" s="2">
        <f>+IF($D60&lt;&gt;"",AM$6*$R60/$T$4*VLOOKUP($M60,CÁRNICOS!$CD$13:$CJ$48,4,FALSE),AM$5*$R60/$T$4*$AK$1)</f>
        <v>0</v>
      </c>
      <c r="AN60" s="2">
        <f>+IF($D60&lt;&gt;"",AN$6*$S60/$T$4*VLOOKUP($M60,CÁRNICOS!$CD$13:$CJ$48,4,FALSE),AN$5*$S60/$T$4*$AK$1)</f>
        <v>0</v>
      </c>
      <c r="AO60" s="2">
        <f>+IF($D60&lt;&gt;"",AO$6*$T60/$T$4*VLOOKUP($M60,CÁRNICOS!$CD$13:$CJ$48,4,FALSE),AO$5*$T60/$T$4*$AK$1)</f>
        <v>0</v>
      </c>
      <c r="AP60" s="120">
        <f>IF($G60&lt;&gt;"",0,SUM(AK60:AO60))</f>
        <v>0</v>
      </c>
      <c r="AQ60" s="149">
        <f>+ROUNDUP(AP60/AQ$4,0)</f>
        <v>0</v>
      </c>
      <c r="AR60" s="120">
        <f>+IF(AP60*AQ60=0,0,(ROUNDUP(AP60/AQ60,3)))</f>
        <v>0</v>
      </c>
      <c r="AS60" s="2">
        <f>+IF($D60&lt;&gt;"",AS$6*$P60/$T$4*VLOOKUP($M60,CÁRNICOS!$CD$13:$CJ$48,5,FALSE),AS$5*$P60/$T$4*$AS$1)</f>
        <v>0.27</v>
      </c>
      <c r="AT60" s="2">
        <f>+IF($D60&lt;&gt;"",AT$6*$Q60/$T$4*VLOOKUP($M60,CÁRNICOS!$CD$13:$CJ$48,5,FALSE),AT$5*$Q60/$T$4*$AS$1)</f>
        <v>0.32400000000000001</v>
      </c>
      <c r="AU60" s="2">
        <f>+IF($D60&lt;&gt;"",AU$6*$R60/$T$4*VLOOKUP($M60,CÁRNICOS!$CD$13:$CJ$48,5,FALSE),AU$5*$R60/$T$4*$AS$1)</f>
        <v>0</v>
      </c>
      <c r="AV60" s="2">
        <f>+IF($D60&lt;&gt;"",AV$6*$S60/$T$4*VLOOKUP($M60,CÁRNICOS!$CD$13:$CJ$48,5,FALSE),AV$5*$S60/$T$4*$AS$1)</f>
        <v>0</v>
      </c>
      <c r="AW60" s="2">
        <f>+IF($D60&lt;&gt;"",AW$6*$T60/$T$4*VLOOKUP($M60,CÁRNICOS!$CD$13:$CJ$48,5,FALSE),AW$5*$T60/$T$4*$AS$1)</f>
        <v>0</v>
      </c>
      <c r="AX60" s="120">
        <f>IF($H60&lt;&gt;"",0,SUM(AS60:AW60))</f>
        <v>0.59400000000000008</v>
      </c>
      <c r="AY60" s="149">
        <f>+ROUNDUP(AX60/AY$4,0)</f>
        <v>1</v>
      </c>
      <c r="AZ60" s="120">
        <f>+IF(AX60*AY60=0,0,(ROUNDUP(AX60/AY60,3)))</f>
        <v>0.59399999999999997</v>
      </c>
      <c r="BA60" s="2">
        <f>+IF($D60&lt;&gt;"",BA$6*$P60/$T$4*VLOOKUP($M60,CÁRNICOS!$CD$13:$CJ$48,6,FALSE),BA$5*$P60/$T$4*$BA$1)</f>
        <v>0</v>
      </c>
      <c r="BB60" s="2">
        <f>+IF($D60&lt;&gt;"",BB$6*$Q60/$T$4*VLOOKUP($M60,CÁRNICOS!$CD$13:$CJ$48,6,FALSE),BB$5*$Q60/$T$4*$BA$1)</f>
        <v>0</v>
      </c>
      <c r="BC60" s="2">
        <f>+IF($D60&lt;&gt;"",BC$6*$R60/$T$4*VLOOKUP($M60,CÁRNICOS!$CD$13:$CJ$48,6,FALSE),BC$5*$R60/$T$4*$BA$1)</f>
        <v>0</v>
      </c>
      <c r="BD60" s="2">
        <f>+IF($D60&lt;&gt;"",BD$6*$S60/$T$4*VLOOKUP($M60,CÁRNICOS!$CD$13:$CJ$48,6,FALSE),BD$5*$S60/$T$4*$BA$1)</f>
        <v>0</v>
      </c>
      <c r="BE60" s="2">
        <f>+IF($D60&lt;&gt;"",BE$6*$T60/$T$4*VLOOKUP($M60,CÁRNICOS!$CD$13:$CJ$48,6,FALSE),BE$5*$T60/$T$4*$BA$1)</f>
        <v>0</v>
      </c>
      <c r="BF60" s="120">
        <f t="shared" si="32"/>
        <v>0</v>
      </c>
      <c r="BG60" s="149">
        <f t="shared" si="33"/>
        <v>0</v>
      </c>
      <c r="BH60" s="120">
        <f t="shared" si="34"/>
        <v>0</v>
      </c>
      <c r="BI60" s="2">
        <f>+IF($D60&lt;&gt;"",BI$6*$P60/$T$4*VLOOKUP($M60,CÁRNICOS!$CD$13:$CJ$48,7,FALSE),BI$5*$P60/$T$4*$BI$1)</f>
        <v>0</v>
      </c>
      <c r="BJ60" s="2">
        <f>+IF($D60&lt;&gt;"",BJ$6*$Q60/$T$4*VLOOKUP($M60,CÁRNICOS!$CD$13:$CJ$48,7,FALSE),BJ$5*$Q60/$T$4*$BI$1)</f>
        <v>0</v>
      </c>
      <c r="BK60" s="2">
        <f>+IF($D60&lt;&gt;"",BK$6*$R60/$T$4*VLOOKUP($M60,CÁRNICOS!$CD$13:$CJ$48,7,FALSE),BK$5*$R60/$T$4*$BI$1)</f>
        <v>0</v>
      </c>
      <c r="BL60" s="2">
        <f>+IF($D60&lt;&gt;"",BL$6*$S60/$T$4*VLOOKUP($M60,CÁRNICOS!$CD$13:$CJ$48,7,FALSE),BL$5*$S60/$T$4*$BI$1)</f>
        <v>0</v>
      </c>
      <c r="BM60" s="2">
        <f>+IF($D60&lt;&gt;"",BM$6*$T60/$T$4*VLOOKUP($M60,CÁRNICOS!$CD$13:$CJ$48,7,FALSE),BM$5*$T60/$T$4*$BI$1)</f>
        <v>0</v>
      </c>
      <c r="BN60" s="120">
        <f t="shared" si="35"/>
        <v>0</v>
      </c>
      <c r="BO60" s="149">
        <f t="shared" si="37"/>
        <v>0</v>
      </c>
      <c r="BP60" s="120">
        <f t="shared" si="38"/>
        <v>0</v>
      </c>
      <c r="BR60" s="74" t="str">
        <f t="shared" si="39"/>
        <v>A</v>
      </c>
      <c r="BS60" s="74" t="str">
        <f t="shared" si="40"/>
        <v>SAMANÁ (BERLÍN)</v>
      </c>
      <c r="BT60" s="74" t="str">
        <f t="shared" si="41"/>
        <v>INSTITUCION EDUCATIVA BERLIN</v>
      </c>
      <c r="BU60" s="74" t="str">
        <f t="shared" si="42"/>
        <v>ESCUELA CRISTOBAL COLÓN</v>
      </c>
      <c r="BV60" s="74">
        <f t="shared" si="43"/>
        <v>0</v>
      </c>
      <c r="BW60" s="74">
        <f t="shared" si="44"/>
        <v>0</v>
      </c>
      <c r="BX60" s="74">
        <f t="shared" si="45"/>
        <v>0</v>
      </c>
      <c r="BY60" s="74">
        <f t="shared" si="46"/>
        <v>0.59400000000000008</v>
      </c>
      <c r="BZ60" s="74">
        <f t="shared" si="47"/>
        <v>0</v>
      </c>
      <c r="CA60" s="74">
        <f t="shared" si="48"/>
        <v>0</v>
      </c>
    </row>
    <row r="61" spans="1:88" ht="29.95" customHeight="1" x14ac:dyDescent="0.3">
      <c r="B61" s="46">
        <f>+B60+1</f>
        <v>2</v>
      </c>
      <c r="C61" s="14">
        <f>SUM(P61:T61)</f>
        <v>60</v>
      </c>
      <c r="D61" s="22" t="s">
        <v>73</v>
      </c>
      <c r="E61" s="124"/>
      <c r="F61" s="60"/>
      <c r="G61" s="60"/>
      <c r="H61" s="60"/>
      <c r="I61" s="60"/>
      <c r="J61" s="60"/>
      <c r="K61" s="59"/>
      <c r="L61" s="122">
        <v>2</v>
      </c>
      <c r="M61" s="162" t="s">
        <v>35</v>
      </c>
      <c r="N61" s="162" t="s">
        <v>257</v>
      </c>
      <c r="O61" s="163" t="s">
        <v>258</v>
      </c>
      <c r="P61" s="74">
        <v>0</v>
      </c>
      <c r="Q61" s="74">
        <v>60</v>
      </c>
      <c r="R61" s="139">
        <v>0</v>
      </c>
      <c r="S61" s="74">
        <v>0</v>
      </c>
      <c r="T61" s="74">
        <v>0</v>
      </c>
      <c r="U61" s="2">
        <f>+IF($D61&lt;&gt;"",U$6*$P61/$T$4*VLOOKUP($M61,CÁRNICOS!$CD$13:$CJ$48,2,FALSE),U$5*$P61/$T$4*$U$1)</f>
        <v>0</v>
      </c>
      <c r="V61" s="2">
        <f>+IF($D61&lt;&gt;"",V$6*$Q61/$T$4*VLOOKUP($M61,CÁRNICOS!$CD$13:$CJ$48,2,FALSE),V$5*$Q61/$T$4*$U$1)</f>
        <v>0</v>
      </c>
      <c r="W61" s="2">
        <f>+IF($D61&lt;&gt;"",W$6*$R61/$T$4*VLOOKUP($M61,CÁRNICOS!$CD$13:$CJ$48,2,FALSE),W$5*$R61/$T$4*$U$1)</f>
        <v>0</v>
      </c>
      <c r="X61" s="2">
        <f>+IF($D61&lt;&gt;"",X$6*$S61/$T$4*VLOOKUP($M61,CÁRNICOS!$CD$13:$CJ$48,2,FALSE),X$5*$S61/$T$4*$U$1)</f>
        <v>0</v>
      </c>
      <c r="Y61" s="2">
        <f>+IF($D61&lt;&gt;"",Y$6*$T61/$T$4*VLOOKUP($M61,CÁRNICOS!$CD$13:$CJ$48,2,FALSE),Y$5*$T61/$T$4*$U$1)</f>
        <v>0</v>
      </c>
      <c r="Z61" s="146">
        <f>IF($E61&lt;&gt;"",0,SUM(U61:Y61))</f>
        <v>0</v>
      </c>
      <c r="AA61" s="149">
        <f>+ROUNDUP(Z61/AA$4,0)</f>
        <v>0</v>
      </c>
      <c r="AB61" s="120">
        <f>+IF(Z61*AA61=0,0,(ROUNDUP(Z61/AA61,3)))</f>
        <v>0</v>
      </c>
      <c r="AC61" s="147">
        <f>+IF($D61&lt;&gt;"",AC$6*$P61/$T$4*VLOOKUP($M61,CÁRNICOS!$CD$13:$CJ$48,3,FALSE),AC$5*$P61/$T$4*$AC$1)</f>
        <v>0</v>
      </c>
      <c r="AD61" s="147">
        <f>+IF($D61&lt;&gt;"",AD$6*$Q61/$T$4*VLOOKUP($M61,CÁRNICOS!$CD$13:$CJ$48,3,FALSE),AD$5*$Q61/$T$4*$AC$1)</f>
        <v>0</v>
      </c>
      <c r="AE61" s="2">
        <f>+IF($D61&lt;&gt;"",AE$6*$R61/$T$4*VLOOKUP($M61,CÁRNICOS!$CD$13:$CJ$48,3,FALSE),AE$5*$R61/$T$4*$AC$1)</f>
        <v>0</v>
      </c>
      <c r="AF61" s="2">
        <f>+IF($D61&lt;&gt;"",AF$6*$S61/$T$4*VLOOKUP($M61,CÁRNICOS!$CD$13:$CJ$48,3,FALSE),AF$5*$S61/$T$4*$AC$1)</f>
        <v>0</v>
      </c>
      <c r="AG61" s="2">
        <f>+IF($D61&lt;&gt;"",AG$6*$T61/$T$4*VLOOKUP($M61,CÁRNICOS!$CD$13:$CJ$48,3,FALSE),AG$5*$T61/$T$4*$AC$1)</f>
        <v>0</v>
      </c>
      <c r="AH61" s="120">
        <f>IF($F61&lt;&gt;"",0,SUM(AC61:AG61))</f>
        <v>0</v>
      </c>
      <c r="AI61" s="149">
        <f>+ROUNDUP(AH61/AI$4,0)</f>
        <v>0</v>
      </c>
      <c r="AJ61" s="120">
        <f>+IF(AH61*AI61=0,0,(ROUNDUP(AH61/AI61,3)))</f>
        <v>0</v>
      </c>
      <c r="AK61" s="2">
        <f>+IF($D61&lt;&gt;"",AK$6*$P61/$T$4*VLOOKUP($M61,CÁRNICOS!$CD$13:$CJ$48,4,FALSE),AK$5*$P61/$T$4*$AK$1)</f>
        <v>0</v>
      </c>
      <c r="AL61" s="2">
        <f>+IF($D61&lt;&gt;"",AL$6*$Q61/$T$4*VLOOKUP($M61,CÁRNICOS!$CD$13:$CJ$48,4,FALSE),AL$5*$Q61/$T$4*$AK$1)</f>
        <v>0</v>
      </c>
      <c r="AM61" s="2">
        <f>+IF($D61&lt;&gt;"",AM$6*$R61/$T$4*VLOOKUP($M61,CÁRNICOS!$CD$13:$CJ$48,4,FALSE),AM$5*$R61/$T$4*$AK$1)</f>
        <v>0</v>
      </c>
      <c r="AN61" s="2">
        <f>+IF($D61&lt;&gt;"",AN$6*$S61/$T$4*VLOOKUP($M61,CÁRNICOS!$CD$13:$CJ$48,4,FALSE),AN$5*$S61/$T$4*$AK$1)</f>
        <v>0</v>
      </c>
      <c r="AO61" s="2">
        <f>+IF($D61&lt;&gt;"",AO$6*$T61/$T$4*VLOOKUP($M61,CÁRNICOS!$CD$13:$CJ$48,4,FALSE),AO$5*$T61/$T$4*$AK$1)</f>
        <v>0</v>
      </c>
      <c r="AP61" s="120">
        <f>IF($G61&lt;&gt;"",0,SUM(AK61:AO61))</f>
        <v>0</v>
      </c>
      <c r="AQ61" s="149">
        <f>+ROUNDUP(AP61/AQ$4,0)</f>
        <v>0</v>
      </c>
      <c r="AR61" s="120">
        <f>+IF(AP61*AQ61=0,0,(ROUNDUP(AP61/AQ61,3)))</f>
        <v>0</v>
      </c>
      <c r="AS61" s="2">
        <f>+IF($D61&lt;&gt;"",AS$6*$P61/$T$4*VLOOKUP($M61,CÁRNICOS!$CD$13:$CJ$48,5,FALSE),AS$5*$P61/$T$4*$AS$1)</f>
        <v>0</v>
      </c>
      <c r="AT61" s="2">
        <f>+IF($D61&lt;&gt;"",AT$6*$Q61/$T$4*VLOOKUP($M61,CÁRNICOS!$CD$13:$CJ$48,5,FALSE),AT$5*$Q61/$T$4*$AS$1)</f>
        <v>3.24</v>
      </c>
      <c r="AU61" s="2">
        <f>+IF($D61&lt;&gt;"",AU$6*$R61/$T$4*VLOOKUP($M61,CÁRNICOS!$CD$13:$CJ$48,5,FALSE),AU$5*$R61/$T$4*$AS$1)</f>
        <v>0</v>
      </c>
      <c r="AV61" s="2">
        <f>+IF($D61&lt;&gt;"",AV$6*$S61/$T$4*VLOOKUP($M61,CÁRNICOS!$CD$13:$CJ$48,5,FALSE),AV$5*$S61/$T$4*$AS$1)</f>
        <v>0</v>
      </c>
      <c r="AW61" s="2">
        <f>+IF($D61&lt;&gt;"",AW$6*$T61/$T$4*VLOOKUP($M61,CÁRNICOS!$CD$13:$CJ$48,5,FALSE),AW$5*$T61/$T$4*$AS$1)</f>
        <v>0</v>
      </c>
      <c r="AX61" s="120">
        <f>IF($H61&lt;&gt;"",0,SUM(AS61:AW61))</f>
        <v>3.24</v>
      </c>
      <c r="AY61" s="149">
        <f>+ROUNDUP(AX61/AY$4,0)</f>
        <v>1</v>
      </c>
      <c r="AZ61" s="120">
        <f>+IF(AX61*AY61=0,0,(ROUNDUP(AX61/AY61,3)))</f>
        <v>3.24</v>
      </c>
      <c r="BA61" s="2">
        <f>+IF($D61&lt;&gt;"",BA$6*$P61/$T$4*VLOOKUP($M61,CÁRNICOS!$CD$13:$CJ$48,6,FALSE),BA$5*$P61/$T$4*$BA$1)</f>
        <v>0</v>
      </c>
      <c r="BB61" s="2">
        <f>+IF($D61&lt;&gt;"",BB$6*$Q61/$T$4*VLOOKUP($M61,CÁRNICOS!$CD$13:$CJ$48,6,FALSE),BB$5*$Q61/$T$4*$BA$1)</f>
        <v>0</v>
      </c>
      <c r="BC61" s="2">
        <f>+IF($D61&lt;&gt;"",BC$6*$R61/$T$4*VLOOKUP($M61,CÁRNICOS!$CD$13:$CJ$48,6,FALSE),BC$5*$R61/$T$4*$BA$1)</f>
        <v>0</v>
      </c>
      <c r="BD61" s="2">
        <f>+IF($D61&lt;&gt;"",BD$6*$S61/$T$4*VLOOKUP($M61,CÁRNICOS!$CD$13:$CJ$48,6,FALSE),BD$5*$S61/$T$4*$BA$1)</f>
        <v>0</v>
      </c>
      <c r="BE61" s="2">
        <f>+IF($D61&lt;&gt;"",BE$6*$T61/$T$4*VLOOKUP($M61,CÁRNICOS!$CD$13:$CJ$48,6,FALSE),BE$5*$T61/$T$4*$BA$1)</f>
        <v>0</v>
      </c>
      <c r="BF61" s="120">
        <f t="shared" si="32"/>
        <v>0</v>
      </c>
      <c r="BG61" s="149">
        <f t="shared" si="33"/>
        <v>0</v>
      </c>
      <c r="BH61" s="120">
        <f t="shared" si="34"/>
        <v>0</v>
      </c>
      <c r="BI61" s="2">
        <f>+IF($D61&lt;&gt;"",BI$6*$P61/$T$4*VLOOKUP($M61,CÁRNICOS!$CD$13:$CJ$48,7,FALSE),BI$5*$P61/$T$4*$BI$1)</f>
        <v>0</v>
      </c>
      <c r="BJ61" s="2">
        <f>+IF($D61&lt;&gt;"",BJ$6*$Q61/$T$4*VLOOKUP($M61,CÁRNICOS!$CD$13:$CJ$48,7,FALSE),BJ$5*$Q61/$T$4*$BI$1)</f>
        <v>0</v>
      </c>
      <c r="BK61" s="2">
        <f>+IF($D61&lt;&gt;"",BK$6*$R61/$T$4*VLOOKUP($M61,CÁRNICOS!$CD$13:$CJ$48,7,FALSE),BK$5*$R61/$T$4*$BI$1)</f>
        <v>0</v>
      </c>
      <c r="BL61" s="2">
        <f>+IF($D61&lt;&gt;"",BL$6*$S61/$T$4*VLOOKUP($M61,CÁRNICOS!$CD$13:$CJ$48,7,FALSE),BL$5*$S61/$T$4*$BI$1)</f>
        <v>0</v>
      </c>
      <c r="BM61" s="2">
        <f>+IF($D61&lt;&gt;"",BM$6*$T61/$T$4*VLOOKUP($M61,CÁRNICOS!$CD$13:$CJ$48,7,FALSE),BM$5*$T61/$T$4*$BI$1)</f>
        <v>0</v>
      </c>
      <c r="BN61" s="120">
        <f t="shared" si="35"/>
        <v>0</v>
      </c>
      <c r="BO61" s="149">
        <f t="shared" si="37"/>
        <v>0</v>
      </c>
      <c r="BP61" s="120">
        <f t="shared" si="38"/>
        <v>0</v>
      </c>
      <c r="BR61" s="74">
        <f t="shared" si="39"/>
        <v>2</v>
      </c>
      <c r="BS61" s="74" t="str">
        <f t="shared" si="40"/>
        <v>SAN JOSÉ</v>
      </c>
      <c r="BT61" s="74" t="str">
        <f t="shared" si="41"/>
        <v>INSTITUCION EDUCATIVA SANTA TERESITA</v>
      </c>
      <c r="BU61" s="74" t="str">
        <f t="shared" si="42"/>
        <v>INSTITUCION EDUCATIVA SANTA TERESITA - SEDE PRINCIPAL</v>
      </c>
      <c r="BV61" s="74">
        <f t="shared" si="43"/>
        <v>0</v>
      </c>
      <c r="BW61" s="74">
        <f t="shared" si="44"/>
        <v>0</v>
      </c>
      <c r="BX61" s="74">
        <f t="shared" si="45"/>
        <v>0</v>
      </c>
      <c r="BY61" s="74">
        <f t="shared" si="46"/>
        <v>3.24</v>
      </c>
      <c r="BZ61" s="74">
        <f t="shared" si="47"/>
        <v>0</v>
      </c>
      <c r="CA61" s="74">
        <f t="shared" si="48"/>
        <v>0</v>
      </c>
    </row>
    <row r="62" spans="1:88" ht="29.95" customHeight="1" x14ac:dyDescent="0.3">
      <c r="B62" s="46">
        <f>+B61+1</f>
        <v>3</v>
      </c>
      <c r="C62" s="14">
        <f>SUM(P62:T62)</f>
        <v>75</v>
      </c>
      <c r="D62" s="22" t="s">
        <v>73</v>
      </c>
      <c r="E62" s="124"/>
      <c r="F62" s="60"/>
      <c r="G62" s="60"/>
      <c r="H62" s="60"/>
      <c r="I62" s="60"/>
      <c r="J62" s="60"/>
      <c r="K62" s="59"/>
      <c r="L62" s="122">
        <v>5</v>
      </c>
      <c r="M62" s="162" t="s">
        <v>63</v>
      </c>
      <c r="N62" s="162" t="s">
        <v>259</v>
      </c>
      <c r="O62" s="163" t="s">
        <v>260</v>
      </c>
      <c r="P62" s="74">
        <v>0</v>
      </c>
      <c r="Q62" s="74">
        <v>55</v>
      </c>
      <c r="R62" s="139">
        <v>20</v>
      </c>
      <c r="S62" s="74">
        <v>0</v>
      </c>
      <c r="T62" s="74">
        <v>0</v>
      </c>
      <c r="U62" s="2">
        <f>+IF($D62&lt;&gt;"",U$6*$P62/$T$4*VLOOKUP($M62,CÁRNICOS!$CD$13:$CJ$48,2,FALSE),U$5*$P62/$T$4*$U$1)</f>
        <v>0</v>
      </c>
      <c r="V62" s="2">
        <f>+IF($D62&lt;&gt;"",V$6*$Q62/$T$4*VLOOKUP($M62,CÁRNICOS!$CD$13:$CJ$48,2,FALSE),V$5*$Q62/$T$4*$U$1)</f>
        <v>0</v>
      </c>
      <c r="W62" s="2">
        <f>+IF($D62&lt;&gt;"",W$6*$R62/$T$4*VLOOKUP($M62,CÁRNICOS!$CD$13:$CJ$48,2,FALSE),W$5*$R62/$T$4*$U$1)</f>
        <v>0</v>
      </c>
      <c r="X62" s="2">
        <f>+IF($D62&lt;&gt;"",X$6*$S62/$T$4*VLOOKUP($M62,CÁRNICOS!$CD$13:$CJ$48,2,FALSE),X$5*$S62/$T$4*$U$1)</f>
        <v>0</v>
      </c>
      <c r="Y62" s="2">
        <f>+IF($D62&lt;&gt;"",Y$6*$T62/$T$4*VLOOKUP($M62,CÁRNICOS!$CD$13:$CJ$48,2,FALSE),Y$5*$T62/$T$4*$U$1)</f>
        <v>0</v>
      </c>
      <c r="Z62" s="146">
        <f>IF($E62&lt;&gt;"",0,SUM(U62:Y62))</f>
        <v>0</v>
      </c>
      <c r="AA62" s="149">
        <f>+ROUNDUP(Z62/AA$4,0)</f>
        <v>0</v>
      </c>
      <c r="AB62" s="120">
        <f>+IF(Z62*AA62=0,0,(ROUNDUP(Z62/AA62,3)))</f>
        <v>0</v>
      </c>
      <c r="AC62" s="147">
        <f>+IF($D62&lt;&gt;"",AC$6*$P62/$T$4*VLOOKUP($M62,CÁRNICOS!$CD$13:$CJ$48,3,FALSE),AC$5*$P62/$T$4*$AC$1)</f>
        <v>0</v>
      </c>
      <c r="AD62" s="147">
        <f>+IF($D62&lt;&gt;"",AD$6*$Q62/$T$4*VLOOKUP($M62,CÁRNICOS!$CD$13:$CJ$48,3,FALSE),AD$5*$Q62/$T$4*$AC$1)</f>
        <v>0</v>
      </c>
      <c r="AE62" s="2">
        <f>+IF($D62&lt;&gt;"",AE$6*$R62/$T$4*VLOOKUP($M62,CÁRNICOS!$CD$13:$CJ$48,3,FALSE),AE$5*$R62/$T$4*$AC$1)</f>
        <v>0</v>
      </c>
      <c r="AF62" s="2">
        <f>+IF($D62&lt;&gt;"",AF$6*$S62/$T$4*VLOOKUP($M62,CÁRNICOS!$CD$13:$CJ$48,3,FALSE),AF$5*$S62/$T$4*$AC$1)</f>
        <v>0</v>
      </c>
      <c r="AG62" s="2">
        <f>+IF($D62&lt;&gt;"",AG$6*$T62/$T$4*VLOOKUP($M62,CÁRNICOS!$CD$13:$CJ$48,3,FALSE),AG$5*$T62/$T$4*$AC$1)</f>
        <v>0</v>
      </c>
      <c r="AH62" s="120">
        <f>IF($F62&lt;&gt;"",0,SUM(AC62:AG62))</f>
        <v>0</v>
      </c>
      <c r="AI62" s="149">
        <f>+ROUNDUP(AH62/AI$4,0)</f>
        <v>0</v>
      </c>
      <c r="AJ62" s="120">
        <f>+IF(AH62*AI62=0,0,(ROUNDUP(AH62/AI62,3)))</f>
        <v>0</v>
      </c>
      <c r="AK62" s="2">
        <f>+IF($D62&lt;&gt;"",AK$6*$P62/$T$4*VLOOKUP($M62,CÁRNICOS!$CD$13:$CJ$48,4,FALSE),AK$5*$P62/$T$4*$AK$1)</f>
        <v>0</v>
      </c>
      <c r="AL62" s="2">
        <f>+IF($D62&lt;&gt;"",AL$6*$Q62/$T$4*VLOOKUP($M62,CÁRNICOS!$CD$13:$CJ$48,4,FALSE),AL$5*$Q62/$T$4*$AK$1)</f>
        <v>0</v>
      </c>
      <c r="AM62" s="2">
        <f>+IF($D62&lt;&gt;"",AM$6*$R62/$T$4*VLOOKUP($M62,CÁRNICOS!$CD$13:$CJ$48,4,FALSE),AM$5*$R62/$T$4*$AK$1)</f>
        <v>0</v>
      </c>
      <c r="AN62" s="2">
        <f>+IF($D62&lt;&gt;"",AN$6*$S62/$T$4*VLOOKUP($M62,CÁRNICOS!$CD$13:$CJ$48,4,FALSE),AN$5*$S62/$T$4*$AK$1)</f>
        <v>0</v>
      </c>
      <c r="AO62" s="2">
        <f>+IF($D62&lt;&gt;"",AO$6*$T62/$T$4*VLOOKUP($M62,CÁRNICOS!$CD$13:$CJ$48,4,FALSE),AO$5*$T62/$T$4*$AK$1)</f>
        <v>0</v>
      </c>
      <c r="AP62" s="120">
        <f>IF($G62&lt;&gt;"",0,SUM(AK62:AO62))</f>
        <v>0</v>
      </c>
      <c r="AQ62" s="149">
        <f>+ROUNDUP(AP62/AQ$4,0)</f>
        <v>0</v>
      </c>
      <c r="AR62" s="120">
        <f>+IF(AP62*AQ62=0,0,(ROUNDUP(AP62/AQ62,3)))</f>
        <v>0</v>
      </c>
      <c r="AS62" s="2">
        <f>+IF($D62&lt;&gt;"",AS$6*$P62/$T$4*VLOOKUP($M62,CÁRNICOS!$CD$13:$CJ$48,5,FALSE),AS$5*$P62/$T$4*$AS$1)</f>
        <v>0</v>
      </c>
      <c r="AT62" s="2">
        <f>+IF($D62&lt;&gt;"",AT$6*$Q62/$T$4*VLOOKUP($M62,CÁRNICOS!$CD$13:$CJ$48,5,FALSE),AT$5*$Q62/$T$4*$AS$1)</f>
        <v>2.97</v>
      </c>
      <c r="AU62" s="2">
        <f>+IF($D62&lt;&gt;"",AU$6*$R62/$T$4*VLOOKUP($M62,CÁRNICOS!$CD$13:$CJ$48,5,FALSE),AU$5*$R62/$T$4*$AS$1)</f>
        <v>1.3</v>
      </c>
      <c r="AV62" s="2">
        <f>+IF($D62&lt;&gt;"",AV$6*$S62/$T$4*VLOOKUP($M62,CÁRNICOS!$CD$13:$CJ$48,5,FALSE),AV$5*$S62/$T$4*$AS$1)</f>
        <v>0</v>
      </c>
      <c r="AW62" s="2">
        <f>+IF($D62&lt;&gt;"",AW$6*$T62/$T$4*VLOOKUP($M62,CÁRNICOS!$CD$13:$CJ$48,5,FALSE),AW$5*$T62/$T$4*$AS$1)</f>
        <v>0</v>
      </c>
      <c r="AX62" s="120">
        <f>IF($H62&lt;&gt;"",0,SUM(AS62:AW62))</f>
        <v>4.2700000000000005</v>
      </c>
      <c r="AY62" s="149">
        <f>+ROUNDUP(AX62/AY$4,0)</f>
        <v>1</v>
      </c>
      <c r="AZ62" s="120">
        <f>+IF(AX62*AY62=0,0,(ROUNDUP(AX62/AY62,3)))</f>
        <v>4.2699999999999996</v>
      </c>
      <c r="BA62" s="2">
        <f>+IF($D62&lt;&gt;"",BA$6*$P62/$T$4*VLOOKUP($M62,CÁRNICOS!$CD$13:$CJ$48,6,FALSE),BA$5*$P62/$T$4*$BA$1)</f>
        <v>0</v>
      </c>
      <c r="BB62" s="2">
        <f>+IF($D62&lt;&gt;"",BB$6*$Q62/$T$4*VLOOKUP($M62,CÁRNICOS!$CD$13:$CJ$48,6,FALSE),BB$5*$Q62/$T$4*$BA$1)</f>
        <v>0</v>
      </c>
      <c r="BC62" s="2">
        <f>+IF($D62&lt;&gt;"",BC$6*$R62/$T$4*VLOOKUP($M62,CÁRNICOS!$CD$13:$CJ$48,6,FALSE),BC$5*$R62/$T$4*$BA$1)</f>
        <v>0</v>
      </c>
      <c r="BD62" s="2">
        <f>+IF($D62&lt;&gt;"",BD$6*$S62/$T$4*VLOOKUP($M62,CÁRNICOS!$CD$13:$CJ$48,6,FALSE),BD$5*$S62/$T$4*$BA$1)</f>
        <v>0</v>
      </c>
      <c r="BE62" s="2">
        <f>+IF($D62&lt;&gt;"",BE$6*$T62/$T$4*VLOOKUP($M62,CÁRNICOS!$CD$13:$CJ$48,6,FALSE),BE$5*$T62/$T$4*$BA$1)</f>
        <v>0</v>
      </c>
      <c r="BF62" s="120">
        <f t="shared" si="32"/>
        <v>0</v>
      </c>
      <c r="BG62" s="149">
        <f t="shared" si="33"/>
        <v>0</v>
      </c>
      <c r="BH62" s="120">
        <f t="shared" si="34"/>
        <v>0</v>
      </c>
      <c r="BI62" s="2">
        <f>+IF($D62&lt;&gt;"",BI$6*$P62/$T$4*VLOOKUP($M62,CÁRNICOS!$CD$13:$CJ$48,7,FALSE),BI$5*$P62/$T$4*$BI$1)</f>
        <v>0</v>
      </c>
      <c r="BJ62" s="2">
        <f>+IF($D62&lt;&gt;"",BJ$6*$Q62/$T$4*VLOOKUP($M62,CÁRNICOS!$CD$13:$CJ$48,7,FALSE),BJ$5*$Q62/$T$4*$BI$1)</f>
        <v>0</v>
      </c>
      <c r="BK62" s="2">
        <f>+IF($D62&lt;&gt;"",BK$6*$R62/$T$4*VLOOKUP($M62,CÁRNICOS!$CD$13:$CJ$48,7,FALSE),BK$5*$R62/$T$4*$BI$1)</f>
        <v>0</v>
      </c>
      <c r="BL62" s="2">
        <f>+IF($D62&lt;&gt;"",BL$6*$S62/$T$4*VLOOKUP($M62,CÁRNICOS!$CD$13:$CJ$48,7,FALSE),BL$5*$S62/$T$4*$BI$1)</f>
        <v>0</v>
      </c>
      <c r="BM62" s="2">
        <f>+IF($D62&lt;&gt;"",BM$6*$T62/$T$4*VLOOKUP($M62,CÁRNICOS!$CD$13:$CJ$48,7,FALSE),BM$5*$T62/$T$4*$BI$1)</f>
        <v>0</v>
      </c>
      <c r="BN62" s="120">
        <f t="shared" si="35"/>
        <v>0</v>
      </c>
      <c r="BO62" s="149">
        <f t="shared" si="37"/>
        <v>0</v>
      </c>
      <c r="BP62" s="120">
        <f t="shared" si="38"/>
        <v>0</v>
      </c>
      <c r="BR62" s="74">
        <f t="shared" si="39"/>
        <v>5</v>
      </c>
      <c r="BS62" s="74" t="str">
        <f t="shared" si="40"/>
        <v>SUPÍA</v>
      </c>
      <c r="BT62" s="74" t="str">
        <f t="shared" si="41"/>
        <v>INSTITUCION EDUCATIVA FRANCISCO JOSE DE CALDAS</v>
      </c>
      <c r="BU62" s="74" t="str">
        <f t="shared" si="42"/>
        <v>ESCUELA NATIVIDAD MONTAÑO</v>
      </c>
      <c r="BV62" s="74">
        <f t="shared" si="43"/>
        <v>0</v>
      </c>
      <c r="BW62" s="74">
        <f t="shared" si="44"/>
        <v>0</v>
      </c>
      <c r="BX62" s="74">
        <f t="shared" si="45"/>
        <v>0</v>
      </c>
      <c r="BY62" s="74">
        <f t="shared" si="46"/>
        <v>4.2700000000000005</v>
      </c>
      <c r="BZ62" s="74">
        <f t="shared" si="47"/>
        <v>0</v>
      </c>
      <c r="CA62" s="74">
        <f t="shared" si="48"/>
        <v>0</v>
      </c>
    </row>
    <row r="63" spans="1:88" ht="29.95" customHeight="1" x14ac:dyDescent="0.3">
      <c r="B63" s="46">
        <f>+COUNTIF($M$8:M63,M63)</f>
        <v>2</v>
      </c>
      <c r="C63" s="14">
        <f>SUM(P63:T63)</f>
        <v>93</v>
      </c>
      <c r="D63" s="22" t="s">
        <v>73</v>
      </c>
      <c r="E63" s="124"/>
      <c r="F63" s="60"/>
      <c r="G63" s="60"/>
      <c r="H63" s="60"/>
      <c r="I63" s="60"/>
      <c r="J63" s="60"/>
      <c r="K63" s="59"/>
      <c r="L63" s="122">
        <v>5</v>
      </c>
      <c r="M63" s="162" t="s">
        <v>63</v>
      </c>
      <c r="N63" s="162" t="s">
        <v>259</v>
      </c>
      <c r="O63" s="163" t="s">
        <v>261</v>
      </c>
      <c r="P63" s="74">
        <v>0</v>
      </c>
      <c r="Q63" s="74">
        <v>93</v>
      </c>
      <c r="R63" s="139">
        <v>0</v>
      </c>
      <c r="S63" s="74">
        <v>0</v>
      </c>
      <c r="T63" s="74">
        <v>0</v>
      </c>
      <c r="U63" s="2">
        <f>+IF($D63&lt;&gt;"",U$6*$P63/$T$4*VLOOKUP($M63,CÁRNICOS!$CD$13:$CJ$48,2,FALSE),U$5*$P63/$T$4*$U$1)</f>
        <v>0</v>
      </c>
      <c r="V63" s="2">
        <f>+IF($D63&lt;&gt;"",V$6*$Q63/$T$4*VLOOKUP($M63,CÁRNICOS!$CD$13:$CJ$48,2,FALSE),V$5*$Q63/$T$4*$U$1)</f>
        <v>0</v>
      </c>
      <c r="W63" s="2">
        <f>+IF($D63&lt;&gt;"",W$6*$R63/$T$4*VLOOKUP($M63,CÁRNICOS!$CD$13:$CJ$48,2,FALSE),W$5*$R63/$T$4*$U$1)</f>
        <v>0</v>
      </c>
      <c r="X63" s="2">
        <f>+IF($D63&lt;&gt;"",X$6*$S63/$T$4*VLOOKUP($M63,CÁRNICOS!$CD$13:$CJ$48,2,FALSE),X$5*$S63/$T$4*$U$1)</f>
        <v>0</v>
      </c>
      <c r="Y63" s="2">
        <f>+IF($D63&lt;&gt;"",Y$6*$T63/$T$4*VLOOKUP($M63,CÁRNICOS!$CD$13:$CJ$48,2,FALSE),Y$5*$T63/$T$4*$U$1)</f>
        <v>0</v>
      </c>
      <c r="Z63" s="146">
        <f>IF($E63&lt;&gt;"",0,SUM(U63:Y63))</f>
        <v>0</v>
      </c>
      <c r="AA63" s="149">
        <f>+ROUNDUP(Z63/AA$4,0)</f>
        <v>0</v>
      </c>
      <c r="AB63" s="120">
        <f>+IF(Z63*AA63=0,0,(ROUNDUP(Z63/AA63,3)))</f>
        <v>0</v>
      </c>
      <c r="AC63" s="147">
        <f>+IF($D63&lt;&gt;"",AC$6*$P63/$T$4*VLOOKUP($M63,CÁRNICOS!$CD$13:$CJ$48,3,FALSE),AC$5*$P63/$T$4*$AC$1)</f>
        <v>0</v>
      </c>
      <c r="AD63" s="147">
        <f>+IF($D63&lt;&gt;"",AD$6*$Q63/$T$4*VLOOKUP($M63,CÁRNICOS!$CD$13:$CJ$48,3,FALSE),AD$5*$Q63/$T$4*$AC$1)</f>
        <v>0</v>
      </c>
      <c r="AE63" s="2">
        <f>+IF($D63&lt;&gt;"",AE$6*$R63/$T$4*VLOOKUP($M63,CÁRNICOS!$CD$13:$CJ$48,3,FALSE),AE$5*$R63/$T$4*$AC$1)</f>
        <v>0</v>
      </c>
      <c r="AF63" s="2">
        <f>+IF($D63&lt;&gt;"",AF$6*$S63/$T$4*VLOOKUP($M63,CÁRNICOS!$CD$13:$CJ$48,3,FALSE),AF$5*$S63/$T$4*$AC$1)</f>
        <v>0</v>
      </c>
      <c r="AG63" s="2">
        <f>+IF($D63&lt;&gt;"",AG$6*$T63/$T$4*VLOOKUP($M63,CÁRNICOS!$CD$13:$CJ$48,3,FALSE),AG$5*$T63/$T$4*$AC$1)</f>
        <v>0</v>
      </c>
      <c r="AH63" s="120">
        <f>IF($F63&lt;&gt;"",0,SUM(AC63:AG63))</f>
        <v>0</v>
      </c>
      <c r="AI63" s="149">
        <f>+ROUNDUP(AH63/AI$4,0)</f>
        <v>0</v>
      </c>
      <c r="AJ63" s="120">
        <f>+IF(AH63*AI63=0,0,(ROUNDUP(AH63/AI63,3)))</f>
        <v>0</v>
      </c>
      <c r="AK63" s="2">
        <f>+IF($D63&lt;&gt;"",AK$6*$P63/$T$4*VLOOKUP($M63,CÁRNICOS!$CD$13:$CJ$48,4,FALSE),AK$5*$P63/$T$4*$AK$1)</f>
        <v>0</v>
      </c>
      <c r="AL63" s="2">
        <f>+IF($D63&lt;&gt;"",AL$6*$Q63/$T$4*VLOOKUP($M63,CÁRNICOS!$CD$13:$CJ$48,4,FALSE),AL$5*$Q63/$T$4*$AK$1)</f>
        <v>0</v>
      </c>
      <c r="AM63" s="2">
        <f>+IF($D63&lt;&gt;"",AM$6*$R63/$T$4*VLOOKUP($M63,CÁRNICOS!$CD$13:$CJ$48,4,FALSE),AM$5*$R63/$T$4*$AK$1)</f>
        <v>0</v>
      </c>
      <c r="AN63" s="2">
        <f>+IF($D63&lt;&gt;"",AN$6*$S63/$T$4*VLOOKUP($M63,CÁRNICOS!$CD$13:$CJ$48,4,FALSE),AN$5*$S63/$T$4*$AK$1)</f>
        <v>0</v>
      </c>
      <c r="AO63" s="2">
        <f>+IF($D63&lt;&gt;"",AO$6*$T63/$T$4*VLOOKUP($M63,CÁRNICOS!$CD$13:$CJ$48,4,FALSE),AO$5*$T63/$T$4*$AK$1)</f>
        <v>0</v>
      </c>
      <c r="AP63" s="120">
        <f>IF($G63&lt;&gt;"",0,SUM(AK63:AO63))</f>
        <v>0</v>
      </c>
      <c r="AQ63" s="149">
        <f>+ROUNDUP(AP63/AQ$4,0)</f>
        <v>0</v>
      </c>
      <c r="AR63" s="120">
        <f>+IF(AP63*AQ63=0,0,(ROUNDUP(AP63/AQ63,3)))</f>
        <v>0</v>
      </c>
      <c r="AS63" s="2">
        <f>+IF($D63&lt;&gt;"",AS$6*$P63/$T$4*VLOOKUP($M63,CÁRNICOS!$CD$13:$CJ$48,5,FALSE),AS$5*$P63/$T$4*$AS$1)</f>
        <v>0</v>
      </c>
      <c r="AT63" s="2">
        <f>+IF($D63&lt;&gt;"",AT$6*$Q63/$T$4*VLOOKUP($M63,CÁRNICOS!$CD$13:$CJ$48,5,FALSE),AT$5*$Q63/$T$4*$AS$1)</f>
        <v>5.0220000000000002</v>
      </c>
      <c r="AU63" s="2">
        <f>+IF($D63&lt;&gt;"",AU$6*$R63/$T$4*VLOOKUP($M63,CÁRNICOS!$CD$13:$CJ$48,5,FALSE),AU$5*$R63/$T$4*$AS$1)</f>
        <v>0</v>
      </c>
      <c r="AV63" s="2">
        <f>+IF($D63&lt;&gt;"",AV$6*$S63/$T$4*VLOOKUP($M63,CÁRNICOS!$CD$13:$CJ$48,5,FALSE),AV$5*$S63/$T$4*$AS$1)</f>
        <v>0</v>
      </c>
      <c r="AW63" s="2">
        <f>+IF($D63&lt;&gt;"",AW$6*$T63/$T$4*VLOOKUP($M63,CÁRNICOS!$CD$13:$CJ$48,5,FALSE),AW$5*$T63/$T$4*$AS$1)</f>
        <v>0</v>
      </c>
      <c r="AX63" s="120">
        <f>IF($H63&lt;&gt;"",0,SUM(AS63:AW63))</f>
        <v>5.0220000000000002</v>
      </c>
      <c r="AY63" s="149">
        <f>+ROUNDUP(AX63/AY$4,0)</f>
        <v>1</v>
      </c>
      <c r="AZ63" s="120">
        <f>+IF(AX63*AY63=0,0,(ROUNDUP(AX63/AY63,3)))</f>
        <v>5.0220000000000002</v>
      </c>
      <c r="BA63" s="2">
        <f>+IF($D63&lt;&gt;"",BA$6*$P63/$T$4*VLOOKUP($M63,CÁRNICOS!$CD$13:$CJ$48,6,FALSE),BA$5*$P63/$T$4*$BA$1)</f>
        <v>0</v>
      </c>
      <c r="BB63" s="2">
        <f>+IF($D63&lt;&gt;"",BB$6*$Q63/$T$4*VLOOKUP($M63,CÁRNICOS!$CD$13:$CJ$48,6,FALSE),BB$5*$Q63/$T$4*$BA$1)</f>
        <v>0</v>
      </c>
      <c r="BC63" s="2">
        <f>+IF($D63&lt;&gt;"",BC$6*$R63/$T$4*VLOOKUP($M63,CÁRNICOS!$CD$13:$CJ$48,6,FALSE),BC$5*$R63/$T$4*$BA$1)</f>
        <v>0</v>
      </c>
      <c r="BD63" s="2">
        <f>+IF($D63&lt;&gt;"",BD$6*$S63/$T$4*VLOOKUP($M63,CÁRNICOS!$CD$13:$CJ$48,6,FALSE),BD$5*$S63/$T$4*$BA$1)</f>
        <v>0</v>
      </c>
      <c r="BE63" s="2">
        <f>+IF($D63&lt;&gt;"",BE$6*$T63/$T$4*VLOOKUP($M63,CÁRNICOS!$CD$13:$CJ$48,6,FALSE),BE$5*$T63/$T$4*$BA$1)</f>
        <v>0</v>
      </c>
      <c r="BF63" s="120">
        <f t="shared" si="32"/>
        <v>0</v>
      </c>
      <c r="BG63" s="149">
        <f t="shared" si="33"/>
        <v>0</v>
      </c>
      <c r="BH63" s="120">
        <f t="shared" si="34"/>
        <v>0</v>
      </c>
      <c r="BI63" s="2">
        <f>+IF($D63&lt;&gt;"",BI$6*$P63/$T$4*VLOOKUP($M63,CÁRNICOS!$CD$13:$CJ$48,7,FALSE),BI$5*$P63/$T$4*$BI$1)</f>
        <v>0</v>
      </c>
      <c r="BJ63" s="2">
        <f>+IF($D63&lt;&gt;"",BJ$6*$Q63/$T$4*VLOOKUP($M63,CÁRNICOS!$CD$13:$CJ$48,7,FALSE),BJ$5*$Q63/$T$4*$BI$1)</f>
        <v>0</v>
      </c>
      <c r="BK63" s="2">
        <f>+IF($D63&lt;&gt;"",BK$6*$R63/$T$4*VLOOKUP($M63,CÁRNICOS!$CD$13:$CJ$48,7,FALSE),BK$5*$R63/$T$4*$BI$1)</f>
        <v>0</v>
      </c>
      <c r="BL63" s="2">
        <f>+IF($D63&lt;&gt;"",BL$6*$S63/$T$4*VLOOKUP($M63,CÁRNICOS!$CD$13:$CJ$48,7,FALSE),BL$5*$S63/$T$4*$BI$1)</f>
        <v>0</v>
      </c>
      <c r="BM63" s="2">
        <f>+IF($D63&lt;&gt;"",BM$6*$T63/$T$4*VLOOKUP($M63,CÁRNICOS!$CD$13:$CJ$48,7,FALSE),BM$5*$T63/$T$4*$BI$1)</f>
        <v>0</v>
      </c>
      <c r="BN63" s="120">
        <f t="shared" si="35"/>
        <v>0</v>
      </c>
      <c r="BO63" s="149">
        <f t="shared" si="37"/>
        <v>0</v>
      </c>
      <c r="BP63" s="120">
        <f t="shared" si="38"/>
        <v>0</v>
      </c>
      <c r="BR63" s="74">
        <f t="shared" si="39"/>
        <v>5</v>
      </c>
      <c r="BS63" s="74" t="str">
        <f t="shared" si="40"/>
        <v>SUPÍA</v>
      </c>
      <c r="BT63" s="74" t="str">
        <f t="shared" si="41"/>
        <v>INSTITUCION EDUCATIVA FRANCISCO JOSE DE CALDAS</v>
      </c>
      <c r="BU63" s="74" t="str">
        <f t="shared" si="42"/>
        <v>INSTITUCION EDUCATIVA FRANCISCO JOSE DE CALDAS - SEDE PRINCIPAL</v>
      </c>
      <c r="BV63" s="74">
        <f t="shared" si="43"/>
        <v>0</v>
      </c>
      <c r="BW63" s="74">
        <f t="shared" si="44"/>
        <v>0</v>
      </c>
      <c r="BX63" s="74">
        <f t="shared" si="45"/>
        <v>0</v>
      </c>
      <c r="BY63" s="74">
        <f t="shared" si="46"/>
        <v>5.0220000000000002</v>
      </c>
      <c r="BZ63" s="74">
        <f t="shared" si="47"/>
        <v>0</v>
      </c>
      <c r="CA63" s="74">
        <f t="shared" si="48"/>
        <v>0</v>
      </c>
    </row>
    <row r="64" spans="1:88" ht="29.95" customHeight="1" x14ac:dyDescent="0.3">
      <c r="A64" s="57"/>
      <c r="B64" s="46">
        <f>+COUNTIF($M$8:M64,M64)</f>
        <v>3</v>
      </c>
      <c r="C64" s="14">
        <f>SUM(P64:T64)</f>
        <v>40</v>
      </c>
      <c r="D64" s="22" t="s">
        <v>73</v>
      </c>
      <c r="E64" s="124"/>
      <c r="F64" s="60"/>
      <c r="G64" s="60"/>
      <c r="H64" s="60"/>
      <c r="I64" s="60"/>
      <c r="J64" s="60"/>
      <c r="K64" s="59"/>
      <c r="L64" s="122">
        <v>5</v>
      </c>
      <c r="M64" s="162" t="s">
        <v>63</v>
      </c>
      <c r="N64" s="162" t="s">
        <v>265</v>
      </c>
      <c r="O64" s="163" t="s">
        <v>266</v>
      </c>
      <c r="P64" s="74">
        <v>20</v>
      </c>
      <c r="Q64" s="74">
        <v>0</v>
      </c>
      <c r="R64" s="139">
        <v>0</v>
      </c>
      <c r="S64" s="74">
        <v>20</v>
      </c>
      <c r="T64" s="74">
        <v>0</v>
      </c>
      <c r="U64" s="2">
        <f>+IF($D64&lt;&gt;"",U$6*$P64/$T$4*VLOOKUP($M64,CÁRNICOS!$CD$13:$CJ$48,2,FALSE),U$5*$P64/$T$4*$U$1)</f>
        <v>0</v>
      </c>
      <c r="V64" s="2">
        <f>+IF($D64&lt;&gt;"",V$6*$Q64/$T$4*VLOOKUP($M64,CÁRNICOS!$CD$13:$CJ$48,2,FALSE),V$5*$Q64/$T$4*$U$1)</f>
        <v>0</v>
      </c>
      <c r="W64" s="2">
        <f>+IF($D64&lt;&gt;"",W$6*$R64/$T$4*VLOOKUP($M64,CÁRNICOS!$CD$13:$CJ$48,2,FALSE),W$5*$R64/$T$4*$U$1)</f>
        <v>0</v>
      </c>
      <c r="X64" s="2">
        <f>+IF($D64&lt;&gt;"",X$6*$S64/$T$4*VLOOKUP($M64,CÁRNICOS!$CD$13:$CJ$48,2,FALSE),X$5*$S64/$T$4*$U$1)</f>
        <v>0</v>
      </c>
      <c r="Y64" s="2">
        <f>+IF($D64&lt;&gt;"",Y$6*$T64/$T$4*VLOOKUP($M64,CÁRNICOS!$CD$13:$CJ$48,2,FALSE),Y$5*$T64/$T$4*$U$1)</f>
        <v>0</v>
      </c>
      <c r="Z64" s="146">
        <f>IF($E64&lt;&gt;"",0,SUM(U64:Y64))</f>
        <v>0</v>
      </c>
      <c r="AA64" s="149">
        <f>+ROUNDUP(Z64/AA$4,0)</f>
        <v>0</v>
      </c>
      <c r="AB64" s="120">
        <f>+IF(Z64*AA64=0,0,(ROUNDUP(Z64/AA64,3)))</f>
        <v>0</v>
      </c>
      <c r="AC64" s="147">
        <f>+IF($D64&lt;&gt;"",AC$6*$P64/$T$4*VLOOKUP($M64,CÁRNICOS!$CD$13:$CJ$48,3,FALSE),AC$5*$P64/$T$4*$AC$1)</f>
        <v>0</v>
      </c>
      <c r="AD64" s="147">
        <f>+IF($D64&lt;&gt;"",AD$6*$Q64/$T$4*VLOOKUP($M64,CÁRNICOS!$CD$13:$CJ$48,3,FALSE),AD$5*$Q64/$T$4*$AC$1)</f>
        <v>0</v>
      </c>
      <c r="AE64" s="2">
        <f>+IF($D64&lt;&gt;"",AE$6*$R64/$T$4*VLOOKUP($M64,CÁRNICOS!$CD$13:$CJ$48,3,FALSE),AE$5*$R64/$T$4*$AC$1)</f>
        <v>0</v>
      </c>
      <c r="AF64" s="2">
        <f>+IF($D64&lt;&gt;"",AF$6*$S64/$T$4*VLOOKUP($M64,CÁRNICOS!$CD$13:$CJ$48,3,FALSE),AF$5*$S64/$T$4*$AC$1)</f>
        <v>0</v>
      </c>
      <c r="AG64" s="2">
        <f>+IF($D64&lt;&gt;"",AG$6*$T64/$T$4*VLOOKUP($M64,CÁRNICOS!$CD$13:$CJ$48,3,FALSE),AG$5*$T64/$T$4*$AC$1)</f>
        <v>0</v>
      </c>
      <c r="AH64" s="120">
        <f>IF($F64&lt;&gt;"",0,SUM(AC64:AG64))</f>
        <v>0</v>
      </c>
      <c r="AI64" s="149">
        <f>+ROUNDUP(AH64/AI$4,0)</f>
        <v>0</v>
      </c>
      <c r="AJ64" s="120">
        <f>+IF(AH64*AI64=0,0,(ROUNDUP(AH64/AI64,3)))</f>
        <v>0</v>
      </c>
      <c r="AK64" s="2">
        <f>+IF($D64&lt;&gt;"",AK$6*$P64/$T$4*VLOOKUP($M64,CÁRNICOS!$CD$13:$CJ$48,4,FALSE),AK$5*$P64/$T$4*$AK$1)</f>
        <v>0</v>
      </c>
      <c r="AL64" s="2">
        <f>+IF($D64&lt;&gt;"",AL$6*$Q64/$T$4*VLOOKUP($M64,CÁRNICOS!$CD$13:$CJ$48,4,FALSE),AL$5*$Q64/$T$4*$AK$1)</f>
        <v>0</v>
      </c>
      <c r="AM64" s="2">
        <f>+IF($D64&lt;&gt;"",AM$6*$R64/$T$4*VLOOKUP($M64,CÁRNICOS!$CD$13:$CJ$48,4,FALSE),AM$5*$R64/$T$4*$AK$1)</f>
        <v>0</v>
      </c>
      <c r="AN64" s="2">
        <f>+IF($D64&lt;&gt;"",AN$6*$S64/$T$4*VLOOKUP($M64,CÁRNICOS!$CD$13:$CJ$48,4,FALSE),AN$5*$S64/$T$4*$AK$1)</f>
        <v>0</v>
      </c>
      <c r="AO64" s="2">
        <f>+IF($D64&lt;&gt;"",AO$6*$T64/$T$4*VLOOKUP($M64,CÁRNICOS!$CD$13:$CJ$48,4,FALSE),AO$5*$T64/$T$4*$AK$1)</f>
        <v>0</v>
      </c>
      <c r="AP64" s="120">
        <f>IF($G64&lt;&gt;"",0,SUM(AK64:AO64))</f>
        <v>0</v>
      </c>
      <c r="AQ64" s="149">
        <f>+ROUNDUP(AP64/AQ$4,0)</f>
        <v>0</v>
      </c>
      <c r="AR64" s="120">
        <f>+IF(AP64*AQ64=0,0,(ROUNDUP(AP64/AQ64,3)))</f>
        <v>0</v>
      </c>
      <c r="AS64" s="2">
        <f>+IF($D64&lt;&gt;"",AS$6*$P64/$T$4*VLOOKUP($M64,CÁRNICOS!$CD$13:$CJ$48,5,FALSE),AS$5*$P64/$T$4*$AS$1)</f>
        <v>1.08</v>
      </c>
      <c r="AT64" s="2">
        <f>+IF($D64&lt;&gt;"",AT$6*$Q64/$T$4*VLOOKUP($M64,CÁRNICOS!$CD$13:$CJ$48,5,FALSE),AT$5*$Q64/$T$4*$AS$1)</f>
        <v>0</v>
      </c>
      <c r="AU64" s="2">
        <f>+IF($D64&lt;&gt;"",AU$6*$R64/$T$4*VLOOKUP($M64,CÁRNICOS!$CD$13:$CJ$48,5,FALSE),AU$5*$R64/$T$4*$AS$1)</f>
        <v>0</v>
      </c>
      <c r="AV64" s="2">
        <f>+IF($D64&lt;&gt;"",AV$6*$S64/$T$4*VLOOKUP($M64,CÁRNICOS!$CD$13:$CJ$48,5,FALSE),AV$5*$S64/$T$4*$AS$1)</f>
        <v>1.6</v>
      </c>
      <c r="AW64" s="2">
        <f>+IF($D64&lt;&gt;"",AW$6*$T64/$T$4*VLOOKUP($M64,CÁRNICOS!$CD$13:$CJ$48,5,FALSE),AW$5*$T64/$T$4*$AS$1)</f>
        <v>0</v>
      </c>
      <c r="AX64" s="120">
        <f>IF($H64&lt;&gt;"",0,SUM(AS64:AW64))</f>
        <v>2.68</v>
      </c>
      <c r="AY64" s="149">
        <f>+ROUNDUP(AX64/AY$4,0)</f>
        <v>1</v>
      </c>
      <c r="AZ64" s="120">
        <f>+IF(AX64*AY64=0,0,(ROUNDUP(AX64/AY64,3)))</f>
        <v>2.68</v>
      </c>
      <c r="BA64" s="2">
        <f>+IF($D64&lt;&gt;"",BA$6*$P64/$T$4*VLOOKUP($M64,CÁRNICOS!$CD$13:$CJ$48,6,FALSE),BA$5*$P64/$T$4*$BA$1)</f>
        <v>0</v>
      </c>
      <c r="BB64" s="2">
        <f>+IF($D64&lt;&gt;"",BB$6*$Q64/$T$4*VLOOKUP($M64,CÁRNICOS!$CD$13:$CJ$48,6,FALSE),BB$5*$Q64/$T$4*$BA$1)</f>
        <v>0</v>
      </c>
      <c r="BC64" s="2">
        <f>+IF($D64&lt;&gt;"",BC$6*$R64/$T$4*VLOOKUP($M64,CÁRNICOS!$CD$13:$CJ$48,6,FALSE),BC$5*$R64/$T$4*$BA$1)</f>
        <v>0</v>
      </c>
      <c r="BD64" s="2">
        <f>+IF($D64&lt;&gt;"",BD$6*$S64/$T$4*VLOOKUP($M64,CÁRNICOS!$CD$13:$CJ$48,6,FALSE),BD$5*$S64/$T$4*$BA$1)</f>
        <v>0</v>
      </c>
      <c r="BE64" s="2">
        <f>+IF($D64&lt;&gt;"",BE$6*$T64/$T$4*VLOOKUP($M64,CÁRNICOS!$CD$13:$CJ$48,6,FALSE),BE$5*$T64/$T$4*$BA$1)</f>
        <v>0</v>
      </c>
      <c r="BF64" s="120">
        <f t="shared" si="32"/>
        <v>0</v>
      </c>
      <c r="BG64" s="149">
        <f t="shared" si="33"/>
        <v>0</v>
      </c>
      <c r="BH64" s="120">
        <f t="shared" si="34"/>
        <v>0</v>
      </c>
      <c r="BI64" s="2">
        <f>+IF($D64&lt;&gt;"",BI$6*$P64/$T$4*VLOOKUP($M64,CÁRNICOS!$CD$13:$CJ$48,7,FALSE),BI$5*$P64/$T$4*$BI$1)</f>
        <v>0</v>
      </c>
      <c r="BJ64" s="2">
        <f>+IF($D64&lt;&gt;"",BJ$6*$Q64/$T$4*VLOOKUP($M64,CÁRNICOS!$CD$13:$CJ$48,7,FALSE),BJ$5*$Q64/$T$4*$BI$1)</f>
        <v>0</v>
      </c>
      <c r="BK64" s="2">
        <f>+IF($D64&lt;&gt;"",BK$6*$R64/$T$4*VLOOKUP($M64,CÁRNICOS!$CD$13:$CJ$48,7,FALSE),BK$5*$R64/$T$4*$BI$1)</f>
        <v>0</v>
      </c>
      <c r="BL64" s="2">
        <f>+IF($D64&lt;&gt;"",BL$6*$S64/$T$4*VLOOKUP($M64,CÁRNICOS!$CD$13:$CJ$48,7,FALSE),BL$5*$S64/$T$4*$BI$1)</f>
        <v>0</v>
      </c>
      <c r="BM64" s="2">
        <f>+IF($D64&lt;&gt;"",BM$6*$T64/$T$4*VLOOKUP($M64,CÁRNICOS!$CD$13:$CJ$48,7,FALSE),BM$5*$T64/$T$4*$BI$1)</f>
        <v>0</v>
      </c>
      <c r="BN64" s="120">
        <f t="shared" si="35"/>
        <v>0</v>
      </c>
      <c r="BO64" s="149">
        <f t="shared" si="16"/>
        <v>0</v>
      </c>
      <c r="BP64" s="120">
        <f t="shared" si="17"/>
        <v>0</v>
      </c>
      <c r="BR64" s="74">
        <f t="shared" si="6"/>
        <v>5</v>
      </c>
      <c r="BS64" s="74" t="str">
        <f t="shared" si="7"/>
        <v>SUPÍA</v>
      </c>
      <c r="BT64" s="74" t="str">
        <f t="shared" si="8"/>
        <v>INSTITUCION EDUCATIVA SAN VICTOR</v>
      </c>
      <c r="BU64" s="74" t="str">
        <f t="shared" si="9"/>
        <v>INSTITUCION EDUCATIVA SAN VICTOR - SEDE PRINCIPAL</v>
      </c>
      <c r="BV64" s="74">
        <f t="shared" si="10"/>
        <v>0</v>
      </c>
      <c r="BW64" s="74">
        <f t="shared" si="11"/>
        <v>0</v>
      </c>
      <c r="BX64" s="74">
        <f t="shared" si="12"/>
        <v>0</v>
      </c>
      <c r="BY64" s="74">
        <f t="shared" si="13"/>
        <v>2.68</v>
      </c>
      <c r="BZ64" s="74">
        <f t="shared" si="14"/>
        <v>0</v>
      </c>
      <c r="CA64" s="74">
        <f t="shared" si="15"/>
        <v>0</v>
      </c>
    </row>
    <row r="65" spans="1:88" ht="29.95" customHeight="1" x14ac:dyDescent="0.3">
      <c r="B65" s="46">
        <f>+COUNTIF($M$8:M65,M65)</f>
        <v>4</v>
      </c>
      <c r="C65" s="14">
        <f>SUM(P65:T65)</f>
        <v>309</v>
      </c>
      <c r="D65" s="22" t="s">
        <v>73</v>
      </c>
      <c r="E65" s="124"/>
      <c r="F65" s="60"/>
      <c r="G65" s="60"/>
      <c r="H65" s="60"/>
      <c r="I65" s="60"/>
      <c r="J65" s="60"/>
      <c r="K65" s="59"/>
      <c r="L65" s="122">
        <v>5</v>
      </c>
      <c r="M65" s="162" t="s">
        <v>63</v>
      </c>
      <c r="N65" s="162" t="s">
        <v>267</v>
      </c>
      <c r="O65" s="163" t="s">
        <v>268</v>
      </c>
      <c r="P65" s="74">
        <v>42</v>
      </c>
      <c r="Q65" s="74">
        <v>267</v>
      </c>
      <c r="R65" s="139">
        <v>0</v>
      </c>
      <c r="S65" s="74">
        <v>0</v>
      </c>
      <c r="T65" s="74">
        <v>0</v>
      </c>
      <c r="U65" s="2">
        <f>+IF($D65&lt;&gt;"",U$6*$P65/$T$4*VLOOKUP($M65,CÁRNICOS!$CD$13:$CJ$48,2,FALSE),U$5*$P65/$T$4*$U$1)</f>
        <v>0</v>
      </c>
      <c r="V65" s="2">
        <f>+IF($D65&lt;&gt;"",V$6*$Q65/$T$4*VLOOKUP($M65,CÁRNICOS!$CD$13:$CJ$48,2,FALSE),V$5*$Q65/$T$4*$U$1)</f>
        <v>0</v>
      </c>
      <c r="W65" s="2">
        <f>+IF($D65&lt;&gt;"",W$6*$R65/$T$4*VLOOKUP($M65,CÁRNICOS!$CD$13:$CJ$48,2,FALSE),W$5*$R65/$T$4*$U$1)</f>
        <v>0</v>
      </c>
      <c r="X65" s="2">
        <f>+IF($D65&lt;&gt;"",X$6*$S65/$T$4*VLOOKUP($M65,CÁRNICOS!$CD$13:$CJ$48,2,FALSE),X$5*$S65/$T$4*$U$1)</f>
        <v>0</v>
      </c>
      <c r="Y65" s="2">
        <f>+IF($D65&lt;&gt;"",Y$6*$T65/$T$4*VLOOKUP($M65,CÁRNICOS!$CD$13:$CJ$48,2,FALSE),Y$5*$T65/$T$4*$U$1)</f>
        <v>0</v>
      </c>
      <c r="Z65" s="146">
        <f>IF($E65&lt;&gt;"",0,SUM(U65:Y65))</f>
        <v>0</v>
      </c>
      <c r="AA65" s="149">
        <f>+ROUNDUP(Z65/AA$4,0)</f>
        <v>0</v>
      </c>
      <c r="AB65" s="120">
        <f>+IF(Z65*AA65=0,0,(ROUNDUP(Z65/AA65,3)))</f>
        <v>0</v>
      </c>
      <c r="AC65" s="147">
        <f>+IF($D65&lt;&gt;"",AC$6*$P65/$T$4*VLOOKUP($M65,CÁRNICOS!$CD$13:$CJ$48,3,FALSE),AC$5*$P65/$T$4*$AC$1)</f>
        <v>0</v>
      </c>
      <c r="AD65" s="147">
        <f>+IF($D65&lt;&gt;"",AD$6*$Q65/$T$4*VLOOKUP($M65,CÁRNICOS!$CD$13:$CJ$48,3,FALSE),AD$5*$Q65/$T$4*$AC$1)</f>
        <v>0</v>
      </c>
      <c r="AE65" s="2">
        <f>+IF($D65&lt;&gt;"",AE$6*$R65/$T$4*VLOOKUP($M65,CÁRNICOS!$CD$13:$CJ$48,3,FALSE),AE$5*$R65/$T$4*$AC$1)</f>
        <v>0</v>
      </c>
      <c r="AF65" s="2">
        <f>+IF($D65&lt;&gt;"",AF$6*$S65/$T$4*VLOOKUP($M65,CÁRNICOS!$CD$13:$CJ$48,3,FALSE),AF$5*$S65/$T$4*$AC$1)</f>
        <v>0</v>
      </c>
      <c r="AG65" s="2">
        <f>+IF($D65&lt;&gt;"",AG$6*$T65/$T$4*VLOOKUP($M65,CÁRNICOS!$CD$13:$CJ$48,3,FALSE),AG$5*$T65/$T$4*$AC$1)</f>
        <v>0</v>
      </c>
      <c r="AH65" s="120">
        <f>IF($F65&lt;&gt;"",0,SUM(AC65:AG65))</f>
        <v>0</v>
      </c>
      <c r="AI65" s="149">
        <f>+ROUNDUP(AH65/AI$4,0)</f>
        <v>0</v>
      </c>
      <c r="AJ65" s="120">
        <f>+IF(AH65*AI65=0,0,(ROUNDUP(AH65/AI65,3)))</f>
        <v>0</v>
      </c>
      <c r="AK65" s="2">
        <f>+IF($D65&lt;&gt;"",AK$6*$P65/$T$4*VLOOKUP($M65,CÁRNICOS!$CD$13:$CJ$48,4,FALSE),AK$5*$P65/$T$4*$AK$1)</f>
        <v>0</v>
      </c>
      <c r="AL65" s="2">
        <f>+IF($D65&lt;&gt;"",AL$6*$Q65/$T$4*VLOOKUP($M65,CÁRNICOS!$CD$13:$CJ$48,4,FALSE),AL$5*$Q65/$T$4*$AK$1)</f>
        <v>0</v>
      </c>
      <c r="AM65" s="2">
        <f>+IF($D65&lt;&gt;"",AM$6*$R65/$T$4*VLOOKUP($M65,CÁRNICOS!$CD$13:$CJ$48,4,FALSE),AM$5*$R65/$T$4*$AK$1)</f>
        <v>0</v>
      </c>
      <c r="AN65" s="2">
        <f>+IF($D65&lt;&gt;"",AN$6*$S65/$T$4*VLOOKUP($M65,CÁRNICOS!$CD$13:$CJ$48,4,FALSE),AN$5*$S65/$T$4*$AK$1)</f>
        <v>0</v>
      </c>
      <c r="AO65" s="2">
        <f>+IF($D65&lt;&gt;"",AO$6*$T65/$T$4*VLOOKUP($M65,CÁRNICOS!$CD$13:$CJ$48,4,FALSE),AO$5*$T65/$T$4*$AK$1)</f>
        <v>0</v>
      </c>
      <c r="AP65" s="120">
        <f>IF($G65&lt;&gt;"",0,SUM(AK65:AO65))</f>
        <v>0</v>
      </c>
      <c r="AQ65" s="149">
        <f>+ROUNDUP(AP65/AQ$4,0)</f>
        <v>0</v>
      </c>
      <c r="AR65" s="120">
        <f>+IF(AP65*AQ65=0,0,(ROUNDUP(AP65/AQ65,3)))</f>
        <v>0</v>
      </c>
      <c r="AS65" s="2">
        <f>+IF($D65&lt;&gt;"",AS$6*$P65/$T$4*VLOOKUP($M65,CÁRNICOS!$CD$13:$CJ$48,5,FALSE),AS$5*$P65/$T$4*$AS$1)</f>
        <v>2.2679999999999998</v>
      </c>
      <c r="AT65" s="2">
        <f>+IF($D65&lt;&gt;"",AT$6*$Q65/$T$4*VLOOKUP($M65,CÁRNICOS!$CD$13:$CJ$48,5,FALSE),AT$5*$Q65/$T$4*$AS$1)</f>
        <v>14.417999999999999</v>
      </c>
      <c r="AU65" s="2">
        <f>+IF($D65&lt;&gt;"",AU$6*$R65/$T$4*VLOOKUP($M65,CÁRNICOS!$CD$13:$CJ$48,5,FALSE),AU$5*$R65/$T$4*$AS$1)</f>
        <v>0</v>
      </c>
      <c r="AV65" s="2">
        <f>+IF($D65&lt;&gt;"",AV$6*$S65/$T$4*VLOOKUP($M65,CÁRNICOS!$CD$13:$CJ$48,5,FALSE),AV$5*$S65/$T$4*$AS$1)</f>
        <v>0</v>
      </c>
      <c r="AW65" s="2">
        <f>+IF($D65&lt;&gt;"",AW$6*$T65/$T$4*VLOOKUP($M65,CÁRNICOS!$CD$13:$CJ$48,5,FALSE),AW$5*$T65/$T$4*$AS$1)</f>
        <v>0</v>
      </c>
      <c r="AX65" s="120">
        <f>IF($H65&lt;&gt;"",0,SUM(AS65:AW65))</f>
        <v>16.686</v>
      </c>
      <c r="AY65" s="149">
        <f>+ROUNDUP(AX65/AY$4,0)</f>
        <v>2</v>
      </c>
      <c r="AZ65" s="120">
        <f>+IF(AX65*AY65=0,0,(ROUNDUP(AX65/AY65,3)))</f>
        <v>8.343</v>
      </c>
      <c r="BA65" s="2">
        <f>+IF($D65&lt;&gt;"",BA$6*$P65/$T$4*VLOOKUP($M65,CÁRNICOS!$CD$13:$CJ$48,6,FALSE),BA$5*$P65/$T$4*$BA$1)</f>
        <v>0</v>
      </c>
      <c r="BB65" s="2">
        <f>+IF($D65&lt;&gt;"",BB$6*$Q65/$T$4*VLOOKUP($M65,CÁRNICOS!$CD$13:$CJ$48,6,FALSE),BB$5*$Q65/$T$4*$BA$1)</f>
        <v>0</v>
      </c>
      <c r="BC65" s="2">
        <f>+IF($D65&lt;&gt;"",BC$6*$R65/$T$4*VLOOKUP($M65,CÁRNICOS!$CD$13:$CJ$48,6,FALSE),BC$5*$R65/$T$4*$BA$1)</f>
        <v>0</v>
      </c>
      <c r="BD65" s="2">
        <f>+IF($D65&lt;&gt;"",BD$6*$S65/$T$4*VLOOKUP($M65,CÁRNICOS!$CD$13:$CJ$48,6,FALSE),BD$5*$S65/$T$4*$BA$1)</f>
        <v>0</v>
      </c>
      <c r="BE65" s="2">
        <f>+IF($D65&lt;&gt;"",BE$6*$T65/$T$4*VLOOKUP($M65,CÁRNICOS!$CD$13:$CJ$48,6,FALSE),BE$5*$T65/$T$4*$BA$1)</f>
        <v>0</v>
      </c>
      <c r="BF65" s="120">
        <f t="shared" si="32"/>
        <v>0</v>
      </c>
      <c r="BG65" s="149">
        <f t="shared" si="33"/>
        <v>0</v>
      </c>
      <c r="BH65" s="120">
        <f t="shared" si="34"/>
        <v>0</v>
      </c>
      <c r="BI65" s="2">
        <f>+IF($D65&lt;&gt;"",BI$6*$P65/$T$4*VLOOKUP($M65,CÁRNICOS!$CD$13:$CJ$48,7,FALSE),BI$5*$P65/$T$4*$BI$1)</f>
        <v>0</v>
      </c>
      <c r="BJ65" s="2">
        <f>+IF($D65&lt;&gt;"",BJ$6*$Q65/$T$4*VLOOKUP($M65,CÁRNICOS!$CD$13:$CJ$48,7,FALSE),BJ$5*$Q65/$T$4*$BI$1)</f>
        <v>0</v>
      </c>
      <c r="BK65" s="2">
        <f>+IF($D65&lt;&gt;"",BK$6*$R65/$T$4*VLOOKUP($M65,CÁRNICOS!$CD$13:$CJ$48,7,FALSE),BK$5*$R65/$T$4*$BI$1)</f>
        <v>0</v>
      </c>
      <c r="BL65" s="2">
        <f>+IF($D65&lt;&gt;"",BL$6*$S65/$T$4*VLOOKUP($M65,CÁRNICOS!$CD$13:$CJ$48,7,FALSE),BL$5*$S65/$T$4*$BI$1)</f>
        <v>0</v>
      </c>
      <c r="BM65" s="2">
        <f>+IF($D65&lt;&gt;"",BM$6*$T65/$T$4*VLOOKUP($M65,CÁRNICOS!$CD$13:$CJ$48,7,FALSE),BM$5*$T65/$T$4*$BI$1)</f>
        <v>0</v>
      </c>
      <c r="BN65" s="120">
        <f t="shared" si="35"/>
        <v>0</v>
      </c>
      <c r="BO65" s="149">
        <f t="shared" si="16"/>
        <v>0</v>
      </c>
      <c r="BP65" s="120">
        <f t="shared" si="17"/>
        <v>0</v>
      </c>
      <c r="BR65" s="74">
        <f t="shared" si="6"/>
        <v>5</v>
      </c>
      <c r="BS65" s="74" t="str">
        <f t="shared" si="7"/>
        <v>SUPÍA</v>
      </c>
      <c r="BT65" s="74" t="str">
        <f t="shared" si="8"/>
        <v>INSTITUCION EDUCATIVA SUPIA</v>
      </c>
      <c r="BU65" s="74" t="str">
        <f t="shared" si="9"/>
        <v>POLICARPA SALAVARRIETA</v>
      </c>
      <c r="BV65" s="74">
        <f t="shared" si="10"/>
        <v>0</v>
      </c>
      <c r="BW65" s="74">
        <f t="shared" si="11"/>
        <v>0</v>
      </c>
      <c r="BX65" s="74">
        <f t="shared" si="12"/>
        <v>0</v>
      </c>
      <c r="BY65" s="74">
        <f t="shared" si="13"/>
        <v>16.686</v>
      </c>
      <c r="BZ65" s="74">
        <f t="shared" si="14"/>
        <v>0</v>
      </c>
      <c r="CA65" s="74">
        <f t="shared" si="15"/>
        <v>0</v>
      </c>
    </row>
    <row r="66" spans="1:88" ht="29.95" customHeight="1" x14ac:dyDescent="0.3">
      <c r="B66" s="46">
        <f>+COUNTIF($M$8:M66,M66)</f>
        <v>5</v>
      </c>
      <c r="C66" s="14">
        <f>SUM(P66:T66)</f>
        <v>21</v>
      </c>
      <c r="D66" s="22" t="s">
        <v>73</v>
      </c>
      <c r="E66" s="124"/>
      <c r="F66" s="60"/>
      <c r="G66" s="60"/>
      <c r="H66" s="60"/>
      <c r="I66" s="60"/>
      <c r="J66" s="60"/>
      <c r="K66" s="59"/>
      <c r="L66" s="122" t="s">
        <v>262</v>
      </c>
      <c r="M66" s="162" t="s">
        <v>63</v>
      </c>
      <c r="N66" s="162" t="s">
        <v>263</v>
      </c>
      <c r="O66" s="163" t="s">
        <v>264</v>
      </c>
      <c r="P66" s="74">
        <v>0</v>
      </c>
      <c r="Q66" s="74">
        <v>21</v>
      </c>
      <c r="R66" s="139">
        <v>0</v>
      </c>
      <c r="S66" s="74">
        <v>0</v>
      </c>
      <c r="T66" s="74">
        <v>0</v>
      </c>
      <c r="U66" s="2">
        <f>+IF($D66&lt;&gt;"",U$6*$P66/$T$4*VLOOKUP($M66,CÁRNICOS!$CD$13:$CJ$48,2,FALSE),U$5*$P66/$T$4*$U$1)</f>
        <v>0</v>
      </c>
      <c r="V66" s="2">
        <f>+IF($D66&lt;&gt;"",V$6*$Q66/$T$4*VLOOKUP($M66,CÁRNICOS!$CD$13:$CJ$48,2,FALSE),V$5*$Q66/$T$4*$U$1)</f>
        <v>0</v>
      </c>
      <c r="W66" s="2">
        <f>+IF($D66&lt;&gt;"",W$6*$R66/$T$4*VLOOKUP($M66,CÁRNICOS!$CD$13:$CJ$48,2,FALSE),W$5*$R66/$T$4*$U$1)</f>
        <v>0</v>
      </c>
      <c r="X66" s="2">
        <f>+IF($D66&lt;&gt;"",X$6*$S66/$T$4*VLOOKUP($M66,CÁRNICOS!$CD$13:$CJ$48,2,FALSE),X$5*$S66/$T$4*$U$1)</f>
        <v>0</v>
      </c>
      <c r="Y66" s="2">
        <f>+IF($D66&lt;&gt;"",Y$6*$T66/$T$4*VLOOKUP($M66,CÁRNICOS!$CD$13:$CJ$48,2,FALSE),Y$5*$T66/$T$4*$U$1)</f>
        <v>0</v>
      </c>
      <c r="Z66" s="146">
        <f>IF($E66&lt;&gt;"",0,SUM(U66:Y66))</f>
        <v>0</v>
      </c>
      <c r="AA66" s="149">
        <f>+ROUNDUP(Z66/AA$4,0)</f>
        <v>0</v>
      </c>
      <c r="AB66" s="120">
        <f>+IF(Z66*AA66=0,0,(ROUNDUP(Z66/AA66,3)))</f>
        <v>0</v>
      </c>
      <c r="AC66" s="147">
        <f>+IF($D66&lt;&gt;"",AC$6*$P66/$T$4*VLOOKUP($M66,CÁRNICOS!$CD$13:$CJ$48,3,FALSE),AC$5*$P66/$T$4*$AC$1)</f>
        <v>0</v>
      </c>
      <c r="AD66" s="147">
        <f>+IF($D66&lt;&gt;"",AD$6*$Q66/$T$4*VLOOKUP($M66,CÁRNICOS!$CD$13:$CJ$48,3,FALSE),AD$5*$Q66/$T$4*$AC$1)</f>
        <v>0</v>
      </c>
      <c r="AE66" s="2">
        <f>+IF($D66&lt;&gt;"",AE$6*$R66/$T$4*VLOOKUP($M66,CÁRNICOS!$CD$13:$CJ$48,3,FALSE),AE$5*$R66/$T$4*$AC$1)</f>
        <v>0</v>
      </c>
      <c r="AF66" s="2">
        <f>+IF($D66&lt;&gt;"",AF$6*$S66/$T$4*VLOOKUP($M66,CÁRNICOS!$CD$13:$CJ$48,3,FALSE),AF$5*$S66/$T$4*$AC$1)</f>
        <v>0</v>
      </c>
      <c r="AG66" s="2">
        <f>+IF($D66&lt;&gt;"",AG$6*$T66/$T$4*VLOOKUP($M66,CÁRNICOS!$CD$13:$CJ$48,3,FALSE),AG$5*$T66/$T$4*$AC$1)</f>
        <v>0</v>
      </c>
      <c r="AH66" s="120">
        <f>IF($F66&lt;&gt;"",0,SUM(AC66:AG66))</f>
        <v>0</v>
      </c>
      <c r="AI66" s="149">
        <f>+ROUNDUP(AH66/AI$4,0)</f>
        <v>0</v>
      </c>
      <c r="AJ66" s="120">
        <f>+IF(AH66*AI66=0,0,(ROUNDUP(AH66/AI66,3)))</f>
        <v>0</v>
      </c>
      <c r="AK66" s="2">
        <f>+IF($D66&lt;&gt;"",AK$6*$P66/$T$4*VLOOKUP($M66,CÁRNICOS!$CD$13:$CJ$48,4,FALSE),AK$5*$P66/$T$4*$AK$1)</f>
        <v>0</v>
      </c>
      <c r="AL66" s="2">
        <f>+IF($D66&lt;&gt;"",AL$6*$Q66/$T$4*VLOOKUP($M66,CÁRNICOS!$CD$13:$CJ$48,4,FALSE),AL$5*$Q66/$T$4*$AK$1)</f>
        <v>0</v>
      </c>
      <c r="AM66" s="2">
        <f>+IF($D66&lt;&gt;"",AM$6*$R66/$T$4*VLOOKUP($M66,CÁRNICOS!$CD$13:$CJ$48,4,FALSE),AM$5*$R66/$T$4*$AK$1)</f>
        <v>0</v>
      </c>
      <c r="AN66" s="2">
        <f>+IF($D66&lt;&gt;"",AN$6*$S66/$T$4*VLOOKUP($M66,CÁRNICOS!$CD$13:$CJ$48,4,FALSE),AN$5*$S66/$T$4*$AK$1)</f>
        <v>0</v>
      </c>
      <c r="AO66" s="2">
        <f>+IF($D66&lt;&gt;"",AO$6*$T66/$T$4*VLOOKUP($M66,CÁRNICOS!$CD$13:$CJ$48,4,FALSE),AO$5*$T66/$T$4*$AK$1)</f>
        <v>0</v>
      </c>
      <c r="AP66" s="120">
        <f>IF($G66&lt;&gt;"",0,SUM(AK66:AO66))</f>
        <v>0</v>
      </c>
      <c r="AQ66" s="149">
        <f>+ROUNDUP(AP66/AQ$4,0)</f>
        <v>0</v>
      </c>
      <c r="AR66" s="120">
        <f>+IF(AP66*AQ66=0,0,(ROUNDUP(AP66/AQ66,3)))</f>
        <v>0</v>
      </c>
      <c r="AS66" s="2">
        <f>+IF($D66&lt;&gt;"",AS$6*$P66/$T$4*VLOOKUP($M66,CÁRNICOS!$CD$13:$CJ$48,5,FALSE),AS$5*$P66/$T$4*$AS$1)</f>
        <v>0</v>
      </c>
      <c r="AT66" s="2">
        <f>+IF($D66&lt;&gt;"",AT$6*$Q66/$T$4*VLOOKUP($M66,CÁRNICOS!$CD$13:$CJ$48,5,FALSE),AT$5*$Q66/$T$4*$AS$1)</f>
        <v>1.1339999999999999</v>
      </c>
      <c r="AU66" s="2">
        <f>+IF($D66&lt;&gt;"",AU$6*$R66/$T$4*VLOOKUP($M66,CÁRNICOS!$CD$13:$CJ$48,5,FALSE),AU$5*$R66/$T$4*$AS$1)</f>
        <v>0</v>
      </c>
      <c r="AV66" s="2">
        <f>+IF($D66&lt;&gt;"",AV$6*$S66/$T$4*VLOOKUP($M66,CÁRNICOS!$CD$13:$CJ$48,5,FALSE),AV$5*$S66/$T$4*$AS$1)</f>
        <v>0</v>
      </c>
      <c r="AW66" s="2">
        <f>+IF($D66&lt;&gt;"",AW$6*$T66/$T$4*VLOOKUP($M66,CÁRNICOS!$CD$13:$CJ$48,5,FALSE),AW$5*$T66/$T$4*$AS$1)</f>
        <v>0</v>
      </c>
      <c r="AX66" s="120">
        <f>IF($H66&lt;&gt;"",0,SUM(AS66:AW66))</f>
        <v>1.1339999999999999</v>
      </c>
      <c r="AY66" s="149">
        <f>+ROUNDUP(AX66/AY$4,0)</f>
        <v>1</v>
      </c>
      <c r="AZ66" s="120">
        <f>+IF(AX66*AY66=0,0,(ROUNDUP(AX66/AY66,3)))</f>
        <v>1.1339999999999999</v>
      </c>
      <c r="BA66" s="2">
        <f>+IF($D66&lt;&gt;"",BA$6*$P66/$T$4*VLOOKUP($M66,CÁRNICOS!$CD$13:$CJ$48,6,FALSE),BA$5*$P66/$T$4*$BA$1)</f>
        <v>0</v>
      </c>
      <c r="BB66" s="2">
        <f>+IF($D66&lt;&gt;"",BB$6*$Q66/$T$4*VLOOKUP($M66,CÁRNICOS!$CD$13:$CJ$48,6,FALSE),BB$5*$Q66/$T$4*$BA$1)</f>
        <v>0</v>
      </c>
      <c r="BC66" s="2">
        <f>+IF($D66&lt;&gt;"",BC$6*$R66/$T$4*VLOOKUP($M66,CÁRNICOS!$CD$13:$CJ$48,6,FALSE),BC$5*$R66/$T$4*$BA$1)</f>
        <v>0</v>
      </c>
      <c r="BD66" s="2">
        <f>+IF($D66&lt;&gt;"",BD$6*$S66/$T$4*VLOOKUP($M66,CÁRNICOS!$CD$13:$CJ$48,6,FALSE),BD$5*$S66/$T$4*$BA$1)</f>
        <v>0</v>
      </c>
      <c r="BE66" s="2">
        <f>+IF($D66&lt;&gt;"",BE$6*$T66/$T$4*VLOOKUP($M66,CÁRNICOS!$CD$13:$CJ$48,6,FALSE),BE$5*$T66/$T$4*$BA$1)</f>
        <v>0</v>
      </c>
      <c r="BF66" s="120">
        <f t="shared" si="32"/>
        <v>0</v>
      </c>
      <c r="BG66" s="149">
        <f t="shared" si="33"/>
        <v>0</v>
      </c>
      <c r="BH66" s="120">
        <f t="shared" si="34"/>
        <v>0</v>
      </c>
      <c r="BI66" s="2">
        <f>+IF($D66&lt;&gt;"",BI$6*$P66/$T$4*VLOOKUP($M66,CÁRNICOS!$CD$13:$CJ$48,7,FALSE),BI$5*$P66/$T$4*$BI$1)</f>
        <v>0</v>
      </c>
      <c r="BJ66" s="2">
        <f>+IF($D66&lt;&gt;"",BJ$6*$Q66/$T$4*VLOOKUP($M66,CÁRNICOS!$CD$13:$CJ$48,7,FALSE),BJ$5*$Q66/$T$4*$BI$1)</f>
        <v>0</v>
      </c>
      <c r="BK66" s="2">
        <f>+IF($D66&lt;&gt;"",BK$6*$R66/$T$4*VLOOKUP($M66,CÁRNICOS!$CD$13:$CJ$48,7,FALSE),BK$5*$R66/$T$4*$BI$1)</f>
        <v>0</v>
      </c>
      <c r="BL66" s="2">
        <f>+IF($D66&lt;&gt;"",BL$6*$S66/$T$4*VLOOKUP($M66,CÁRNICOS!$CD$13:$CJ$48,7,FALSE),BL$5*$S66/$T$4*$BI$1)</f>
        <v>0</v>
      </c>
      <c r="BM66" s="2">
        <f>+IF($D66&lt;&gt;"",BM$6*$T66/$T$4*VLOOKUP($M66,CÁRNICOS!$CD$13:$CJ$48,7,FALSE),BM$5*$T66/$T$4*$BI$1)</f>
        <v>0</v>
      </c>
      <c r="BN66" s="120">
        <f t="shared" si="35"/>
        <v>0</v>
      </c>
      <c r="BO66" s="149">
        <f t="shared" si="16"/>
        <v>0</v>
      </c>
      <c r="BP66" s="120">
        <f t="shared" si="17"/>
        <v>0</v>
      </c>
      <c r="BR66" s="74" t="str">
        <f t="shared" si="6"/>
        <v xml:space="preserve">  1.B</v>
      </c>
      <c r="BS66" s="74" t="str">
        <f t="shared" si="7"/>
        <v>SUPÍA</v>
      </c>
      <c r="BT66" s="74" t="str">
        <f t="shared" si="8"/>
        <v>INSTITUCION EDUCATIVA OBISPO</v>
      </c>
      <c r="BU66" s="74" t="str">
        <f t="shared" si="9"/>
        <v>INSTITUCION EDUCATIVA OBISPO - SEDE PRINCIPAL</v>
      </c>
      <c r="BV66" s="74">
        <f t="shared" si="10"/>
        <v>0</v>
      </c>
      <c r="BW66" s="74">
        <f t="shared" si="11"/>
        <v>0</v>
      </c>
      <c r="BX66" s="74">
        <f t="shared" si="12"/>
        <v>0</v>
      </c>
      <c r="BY66" s="74">
        <f t="shared" si="13"/>
        <v>1.1339999999999999</v>
      </c>
      <c r="BZ66" s="74">
        <f t="shared" si="14"/>
        <v>0</v>
      </c>
      <c r="CA66" s="74">
        <f t="shared" si="15"/>
        <v>0</v>
      </c>
    </row>
    <row r="67" spans="1:88" ht="29.95" customHeight="1" x14ac:dyDescent="0.3">
      <c r="B67" s="46">
        <f>+COUNTIF($M$8:M67,M67)</f>
        <v>1</v>
      </c>
      <c r="C67" s="14">
        <f>SUM(P67:T67)</f>
        <v>130</v>
      </c>
      <c r="D67" s="22" t="s">
        <v>73</v>
      </c>
      <c r="E67" s="124"/>
      <c r="F67" s="60"/>
      <c r="G67" s="60"/>
      <c r="H67" s="60"/>
      <c r="I67" s="60"/>
      <c r="J67" s="60"/>
      <c r="K67" s="59"/>
      <c r="L67" s="122">
        <v>1</v>
      </c>
      <c r="M67" s="162" t="s">
        <v>5</v>
      </c>
      <c r="N67" s="162" t="s">
        <v>4</v>
      </c>
      <c r="O67" s="163" t="s">
        <v>6</v>
      </c>
      <c r="P67" s="74">
        <v>50</v>
      </c>
      <c r="Q67" s="74">
        <v>80</v>
      </c>
      <c r="R67" s="139">
        <v>0</v>
      </c>
      <c r="S67" s="74">
        <v>0</v>
      </c>
      <c r="T67" s="74">
        <v>0</v>
      </c>
      <c r="U67" s="2">
        <f>+IF($D67&lt;&gt;"",U$6*$P67/$T$4*VLOOKUP($M67,CÁRNICOS!$CD$13:$CJ$48,2,FALSE),U$5*$P67/$T$4*$U$1)</f>
        <v>0</v>
      </c>
      <c r="V67" s="2">
        <f>+IF($D67&lt;&gt;"",V$6*$Q67/$T$4*VLOOKUP($M67,CÁRNICOS!$CD$13:$CJ$48,2,FALSE),V$5*$Q67/$T$4*$U$1)</f>
        <v>0</v>
      </c>
      <c r="W67" s="2">
        <f>+IF($D67&lt;&gt;"",W$6*$R67/$T$4*VLOOKUP($M67,CÁRNICOS!$CD$13:$CJ$48,2,FALSE),W$5*$R67/$T$4*$U$1)</f>
        <v>0</v>
      </c>
      <c r="X67" s="2">
        <f>+IF($D67&lt;&gt;"",X$6*$S67/$T$4*VLOOKUP($M67,CÁRNICOS!$CD$13:$CJ$48,2,FALSE),X$5*$S67/$T$4*$U$1)</f>
        <v>0</v>
      </c>
      <c r="Y67" s="2">
        <f>+IF($D67&lt;&gt;"",Y$6*$T67/$T$4*VLOOKUP($M67,CÁRNICOS!$CD$13:$CJ$48,2,FALSE),Y$5*$T67/$T$4*$U$1)</f>
        <v>0</v>
      </c>
      <c r="Z67" s="146">
        <f>IF($E67&lt;&gt;"",0,SUM(U67:Y67))</f>
        <v>0</v>
      </c>
      <c r="AA67" s="149">
        <f>+ROUNDUP(Z67/AA$4,0)</f>
        <v>0</v>
      </c>
      <c r="AB67" s="120">
        <f>+IF(Z67*AA67=0,0,(ROUNDUP(Z67/AA67,3)))</f>
        <v>0</v>
      </c>
      <c r="AC67" s="147">
        <f>+IF($D67&lt;&gt;"",AC$6*$P67/$T$4*VLOOKUP($M67,CÁRNICOS!$CD$13:$CJ$48,3,FALSE),AC$5*$P67/$T$4*$AC$1)</f>
        <v>0</v>
      </c>
      <c r="AD67" s="147">
        <f>+IF($D67&lt;&gt;"",AD$6*$Q67/$T$4*VLOOKUP($M67,CÁRNICOS!$CD$13:$CJ$48,3,FALSE),AD$5*$Q67/$T$4*$AC$1)</f>
        <v>0</v>
      </c>
      <c r="AE67" s="2">
        <f>+IF($D67&lt;&gt;"",AE$6*$R67/$T$4*VLOOKUP($M67,CÁRNICOS!$CD$13:$CJ$48,3,FALSE),AE$5*$R67/$T$4*$AC$1)</f>
        <v>0</v>
      </c>
      <c r="AF67" s="2">
        <f>+IF($D67&lt;&gt;"",AF$6*$S67/$T$4*VLOOKUP($M67,CÁRNICOS!$CD$13:$CJ$48,3,FALSE),AF$5*$S67/$T$4*$AC$1)</f>
        <v>0</v>
      </c>
      <c r="AG67" s="2">
        <f>+IF($D67&lt;&gt;"",AG$6*$T67/$T$4*VLOOKUP($M67,CÁRNICOS!$CD$13:$CJ$48,3,FALSE),AG$5*$T67/$T$4*$AC$1)</f>
        <v>0</v>
      </c>
      <c r="AH67" s="120">
        <f>IF($F67&lt;&gt;"",0,SUM(AC67:AG67))</f>
        <v>0</v>
      </c>
      <c r="AI67" s="149">
        <f>+ROUNDUP(AH67/AI$4,0)</f>
        <v>0</v>
      </c>
      <c r="AJ67" s="120">
        <f>+IF(AH67*AI67=0,0,(ROUNDUP(AH67/AI67,3)))</f>
        <v>0</v>
      </c>
      <c r="AK67" s="2">
        <f>+IF($D67&lt;&gt;"",AK$6*$P67/$T$4*VLOOKUP($M67,CÁRNICOS!$CD$13:$CJ$48,4,FALSE),AK$5*$P67/$T$4*$AK$1)</f>
        <v>0</v>
      </c>
      <c r="AL67" s="2">
        <f>+IF($D67&lt;&gt;"",AL$6*$Q67/$T$4*VLOOKUP($M67,CÁRNICOS!$CD$13:$CJ$48,4,FALSE),AL$5*$Q67/$T$4*$AK$1)</f>
        <v>0</v>
      </c>
      <c r="AM67" s="2">
        <f>+IF($D67&lt;&gt;"",AM$6*$R67/$T$4*VLOOKUP($M67,CÁRNICOS!$CD$13:$CJ$48,4,FALSE),AM$5*$R67/$T$4*$AK$1)</f>
        <v>0</v>
      </c>
      <c r="AN67" s="2">
        <f>+IF($D67&lt;&gt;"",AN$6*$S67/$T$4*VLOOKUP($M67,CÁRNICOS!$CD$13:$CJ$48,4,FALSE),AN$5*$S67/$T$4*$AK$1)</f>
        <v>0</v>
      </c>
      <c r="AO67" s="2">
        <f>+IF($D67&lt;&gt;"",AO$6*$T67/$T$4*VLOOKUP($M67,CÁRNICOS!$CD$13:$CJ$48,4,FALSE),AO$5*$T67/$T$4*$AK$1)</f>
        <v>0</v>
      </c>
      <c r="AP67" s="120">
        <f>IF($G67&lt;&gt;"",0,SUM(AK67:AO67))</f>
        <v>0</v>
      </c>
      <c r="AQ67" s="149">
        <f>+ROUNDUP(AP67/AQ$4,0)</f>
        <v>0</v>
      </c>
      <c r="AR67" s="120">
        <f>+IF(AP67*AQ67=0,0,(ROUNDUP(AP67/AQ67,3)))</f>
        <v>0</v>
      </c>
      <c r="AS67" s="2">
        <f>+IF($D67&lt;&gt;"",AS$6*$P67/$T$4*VLOOKUP($M67,CÁRNICOS!$CD$13:$CJ$48,5,FALSE),AS$5*$P67/$T$4*$AS$1)</f>
        <v>2.7</v>
      </c>
      <c r="AT67" s="2">
        <f>+IF($D67&lt;&gt;"",AT$6*$Q67/$T$4*VLOOKUP($M67,CÁRNICOS!$CD$13:$CJ$48,5,FALSE),AT$5*$Q67/$T$4*$AS$1)</f>
        <v>4.32</v>
      </c>
      <c r="AU67" s="2">
        <f>+IF($D67&lt;&gt;"",AU$6*$R67/$T$4*VLOOKUP($M67,CÁRNICOS!$CD$13:$CJ$48,5,FALSE),AU$5*$R67/$T$4*$AS$1)</f>
        <v>0</v>
      </c>
      <c r="AV67" s="2">
        <f>+IF($D67&lt;&gt;"",AV$6*$S67/$T$4*VLOOKUP($M67,CÁRNICOS!$CD$13:$CJ$48,5,FALSE),AV$5*$S67/$T$4*$AS$1)</f>
        <v>0</v>
      </c>
      <c r="AW67" s="2">
        <f>+IF($D67&lt;&gt;"",AW$6*$T67/$T$4*VLOOKUP($M67,CÁRNICOS!$CD$13:$CJ$48,5,FALSE),AW$5*$T67/$T$4*$AS$1)</f>
        <v>0</v>
      </c>
      <c r="AX67" s="120">
        <f>IF($H67&lt;&gt;"",0,SUM(AS67:AW67))</f>
        <v>7.0200000000000005</v>
      </c>
      <c r="AY67" s="149">
        <f>+ROUNDUP(AX67/AY$4,0)</f>
        <v>1</v>
      </c>
      <c r="AZ67" s="120">
        <f>+IF(AX67*AY67=0,0,(ROUNDUP(AX67/AY67,3)))</f>
        <v>7.02</v>
      </c>
      <c r="BA67" s="2">
        <f>+IF($D67&lt;&gt;"",BA$6*$P67/$T$4*VLOOKUP($M67,CÁRNICOS!$CD$13:$CJ$48,6,FALSE),BA$5*$P67/$T$4*$BA$1)</f>
        <v>0</v>
      </c>
      <c r="BB67" s="2">
        <f>+IF($D67&lt;&gt;"",BB$6*$Q67/$T$4*VLOOKUP($M67,CÁRNICOS!$CD$13:$CJ$48,6,FALSE),BB$5*$Q67/$T$4*$BA$1)</f>
        <v>0</v>
      </c>
      <c r="BC67" s="2">
        <f>+IF($D67&lt;&gt;"",BC$6*$R67/$T$4*VLOOKUP($M67,CÁRNICOS!$CD$13:$CJ$48,6,FALSE),BC$5*$R67/$T$4*$BA$1)</f>
        <v>0</v>
      </c>
      <c r="BD67" s="2">
        <f>+IF($D67&lt;&gt;"",BD$6*$S67/$T$4*VLOOKUP($M67,CÁRNICOS!$CD$13:$CJ$48,6,FALSE),BD$5*$S67/$T$4*$BA$1)</f>
        <v>0</v>
      </c>
      <c r="BE67" s="2">
        <f>+IF($D67&lt;&gt;"",BE$6*$T67/$T$4*VLOOKUP($M67,CÁRNICOS!$CD$13:$CJ$48,6,FALSE),BE$5*$T67/$T$4*$BA$1)</f>
        <v>0</v>
      </c>
      <c r="BF67" s="120">
        <f t="shared" si="32"/>
        <v>0</v>
      </c>
      <c r="BG67" s="149">
        <f t="shared" si="33"/>
        <v>0</v>
      </c>
      <c r="BH67" s="120">
        <f t="shared" si="34"/>
        <v>0</v>
      </c>
      <c r="BI67" s="2">
        <f>+IF($D67&lt;&gt;"",BI$6*$P67/$T$4*VLOOKUP($M67,CÁRNICOS!$CD$13:$CJ$48,7,FALSE),BI$5*$P67/$T$4*$BI$1)</f>
        <v>0</v>
      </c>
      <c r="BJ67" s="2">
        <f>+IF($D67&lt;&gt;"",BJ$6*$Q67/$T$4*VLOOKUP($M67,CÁRNICOS!$CD$13:$CJ$48,7,FALSE),BJ$5*$Q67/$T$4*$BI$1)</f>
        <v>0</v>
      </c>
      <c r="BK67" s="2">
        <f>+IF($D67&lt;&gt;"",BK$6*$R67/$T$4*VLOOKUP($M67,CÁRNICOS!$CD$13:$CJ$48,7,FALSE),BK$5*$R67/$T$4*$BI$1)</f>
        <v>0</v>
      </c>
      <c r="BL67" s="2">
        <f>+IF($D67&lt;&gt;"",BL$6*$S67/$T$4*VLOOKUP($M67,CÁRNICOS!$CD$13:$CJ$48,7,FALSE),BL$5*$S67/$T$4*$BI$1)</f>
        <v>0</v>
      </c>
      <c r="BM67" s="2">
        <f>+IF($D67&lt;&gt;"",BM$6*$T67/$T$4*VLOOKUP($M67,CÁRNICOS!$CD$13:$CJ$48,7,FALSE),BM$5*$T67/$T$4*$BI$1)</f>
        <v>0</v>
      </c>
      <c r="BN67" s="120">
        <f t="shared" si="35"/>
        <v>0</v>
      </c>
      <c r="BO67" s="149">
        <f t="shared" si="16"/>
        <v>0</v>
      </c>
      <c r="BP67" s="120">
        <f t="shared" si="17"/>
        <v>0</v>
      </c>
      <c r="BR67" s="74">
        <f t="shared" si="6"/>
        <v>1</v>
      </c>
      <c r="BS67" s="74" t="str">
        <f t="shared" si="7"/>
        <v>VICTORIA</v>
      </c>
      <c r="BT67" s="74" t="str">
        <f t="shared" si="8"/>
        <v>INSTITUCION EDUCATIVA SAN PABLO</v>
      </c>
      <c r="BU67" s="74" t="str">
        <f t="shared" si="9"/>
        <v>ESCUELA SANTA CECILIA</v>
      </c>
      <c r="BV67" s="74">
        <f t="shared" si="10"/>
        <v>0</v>
      </c>
      <c r="BW67" s="74">
        <f t="shared" si="11"/>
        <v>0</v>
      </c>
      <c r="BX67" s="74">
        <f t="shared" si="12"/>
        <v>0</v>
      </c>
      <c r="BY67" s="74">
        <f t="shared" si="13"/>
        <v>7.0200000000000005</v>
      </c>
      <c r="BZ67" s="74">
        <f t="shared" si="14"/>
        <v>0</v>
      </c>
      <c r="CA67" s="74">
        <f t="shared" si="15"/>
        <v>0</v>
      </c>
    </row>
    <row r="68" spans="1:88" ht="29.95" customHeight="1" x14ac:dyDescent="0.3">
      <c r="B68" s="46">
        <f>+COUNTIF($M$8:M68,M68)</f>
        <v>2</v>
      </c>
      <c r="C68" s="14">
        <f>SUM(P68:T68)</f>
        <v>100</v>
      </c>
      <c r="D68" s="22" t="s">
        <v>73</v>
      </c>
      <c r="E68" s="124"/>
      <c r="F68" s="60"/>
      <c r="G68" s="60"/>
      <c r="H68" s="60"/>
      <c r="I68" s="60"/>
      <c r="J68" s="60"/>
      <c r="K68" s="59"/>
      <c r="L68" s="122">
        <v>1</v>
      </c>
      <c r="M68" s="162" t="s">
        <v>5</v>
      </c>
      <c r="N68" s="162" t="s">
        <v>4</v>
      </c>
      <c r="O68" s="163" t="s">
        <v>3</v>
      </c>
      <c r="P68" s="74">
        <v>0</v>
      </c>
      <c r="Q68" s="74">
        <v>0</v>
      </c>
      <c r="R68" s="139">
        <v>0</v>
      </c>
      <c r="S68" s="74">
        <v>90</v>
      </c>
      <c r="T68" s="74">
        <v>10</v>
      </c>
      <c r="U68" s="2">
        <f>+IF($D68&lt;&gt;"",U$6*$P68/$T$4*VLOOKUP($M68,CÁRNICOS!$CD$13:$CJ$48,2,FALSE),U$5*$P68/$T$4*$U$1)</f>
        <v>0</v>
      </c>
      <c r="V68" s="2">
        <f>+IF($D68&lt;&gt;"",V$6*$Q68/$T$4*VLOOKUP($M68,CÁRNICOS!$CD$13:$CJ$48,2,FALSE),V$5*$Q68/$T$4*$U$1)</f>
        <v>0</v>
      </c>
      <c r="W68" s="2">
        <f>+IF($D68&lt;&gt;"",W$6*$R68/$T$4*VLOOKUP($M68,CÁRNICOS!$CD$13:$CJ$48,2,FALSE),W$5*$R68/$T$4*$U$1)</f>
        <v>0</v>
      </c>
      <c r="X68" s="2">
        <f>+IF($D68&lt;&gt;"",X$6*$S68/$T$4*VLOOKUP($M68,CÁRNICOS!$CD$13:$CJ$48,2,FALSE),X$5*$S68/$T$4*$U$1)</f>
        <v>0</v>
      </c>
      <c r="Y68" s="2">
        <f>+IF($D68&lt;&gt;"",Y$6*$T68/$T$4*VLOOKUP($M68,CÁRNICOS!$CD$13:$CJ$48,2,FALSE),Y$5*$T68/$T$4*$U$1)</f>
        <v>0</v>
      </c>
      <c r="Z68" s="146">
        <f>IF($E68&lt;&gt;"",0,SUM(U68:Y68))</f>
        <v>0</v>
      </c>
      <c r="AA68" s="149">
        <f>+ROUNDUP(Z68/AA$4,0)</f>
        <v>0</v>
      </c>
      <c r="AB68" s="120">
        <f>+IF(Z68*AA68=0,0,(ROUNDUP(Z68/AA68,3)))</f>
        <v>0</v>
      </c>
      <c r="AC68" s="147">
        <f>+IF($D68&lt;&gt;"",AC$6*$P68/$T$4*VLOOKUP($M68,CÁRNICOS!$CD$13:$CJ$48,3,FALSE),AC$5*$P68/$T$4*$AC$1)</f>
        <v>0</v>
      </c>
      <c r="AD68" s="147">
        <f>+IF($D68&lt;&gt;"",AD$6*$Q68/$T$4*VLOOKUP($M68,CÁRNICOS!$CD$13:$CJ$48,3,FALSE),AD$5*$Q68/$T$4*$AC$1)</f>
        <v>0</v>
      </c>
      <c r="AE68" s="2">
        <f>+IF($D68&lt;&gt;"",AE$6*$R68/$T$4*VLOOKUP($M68,CÁRNICOS!$CD$13:$CJ$48,3,FALSE),AE$5*$R68/$T$4*$AC$1)</f>
        <v>0</v>
      </c>
      <c r="AF68" s="2">
        <f>+IF($D68&lt;&gt;"",AF$6*$S68/$T$4*VLOOKUP($M68,CÁRNICOS!$CD$13:$CJ$48,3,FALSE),AF$5*$S68/$T$4*$AC$1)</f>
        <v>0</v>
      </c>
      <c r="AG68" s="2">
        <f>+IF($D68&lt;&gt;"",AG$6*$T68/$T$4*VLOOKUP($M68,CÁRNICOS!$CD$13:$CJ$48,3,FALSE),AG$5*$T68/$T$4*$AC$1)</f>
        <v>0</v>
      </c>
      <c r="AH68" s="120">
        <f>IF($F68&lt;&gt;"",0,SUM(AC68:AG68))</f>
        <v>0</v>
      </c>
      <c r="AI68" s="149">
        <f>+ROUNDUP(AH68/AI$4,0)</f>
        <v>0</v>
      </c>
      <c r="AJ68" s="120">
        <f>+IF(AH68*AI68=0,0,(ROUNDUP(AH68/AI68,3)))</f>
        <v>0</v>
      </c>
      <c r="AK68" s="2">
        <f>+IF($D68&lt;&gt;"",AK$6*$P68/$T$4*VLOOKUP($M68,CÁRNICOS!$CD$13:$CJ$48,4,FALSE),AK$5*$P68/$T$4*$AK$1)</f>
        <v>0</v>
      </c>
      <c r="AL68" s="2">
        <f>+IF($D68&lt;&gt;"",AL$6*$Q68/$T$4*VLOOKUP($M68,CÁRNICOS!$CD$13:$CJ$48,4,FALSE),AL$5*$Q68/$T$4*$AK$1)</f>
        <v>0</v>
      </c>
      <c r="AM68" s="2">
        <f>+IF($D68&lt;&gt;"",AM$6*$R68/$T$4*VLOOKUP($M68,CÁRNICOS!$CD$13:$CJ$48,4,FALSE),AM$5*$R68/$T$4*$AK$1)</f>
        <v>0</v>
      </c>
      <c r="AN68" s="2">
        <f>+IF($D68&lt;&gt;"",AN$6*$S68/$T$4*VLOOKUP($M68,CÁRNICOS!$CD$13:$CJ$48,4,FALSE),AN$5*$S68/$T$4*$AK$1)</f>
        <v>0</v>
      </c>
      <c r="AO68" s="2">
        <f>+IF($D68&lt;&gt;"",AO$6*$T68/$T$4*VLOOKUP($M68,CÁRNICOS!$CD$13:$CJ$48,4,FALSE),AO$5*$T68/$T$4*$AK$1)</f>
        <v>0</v>
      </c>
      <c r="AP68" s="120">
        <f>IF($G68&lt;&gt;"",0,SUM(AK68:AO68))</f>
        <v>0</v>
      </c>
      <c r="AQ68" s="149">
        <f>+ROUNDUP(AP68/AQ$4,0)</f>
        <v>0</v>
      </c>
      <c r="AR68" s="120">
        <f>+IF(AP68*AQ68=0,0,(ROUNDUP(AP68/AQ68,3)))</f>
        <v>0</v>
      </c>
      <c r="AS68" s="2">
        <f>+IF($D68&lt;&gt;"",AS$6*$P68/$T$4*VLOOKUP($M68,CÁRNICOS!$CD$13:$CJ$48,5,FALSE),AS$5*$P68/$T$4*$AS$1)</f>
        <v>0</v>
      </c>
      <c r="AT68" s="2">
        <f>+IF($D68&lt;&gt;"",AT$6*$Q68/$T$4*VLOOKUP($M68,CÁRNICOS!$CD$13:$CJ$48,5,FALSE),AT$5*$Q68/$T$4*$AS$1)</f>
        <v>0</v>
      </c>
      <c r="AU68" s="2">
        <f>+IF($D68&lt;&gt;"",AU$6*$R68/$T$4*VLOOKUP($M68,CÁRNICOS!$CD$13:$CJ$48,5,FALSE),AU$5*$R68/$T$4*$AS$1)</f>
        <v>0</v>
      </c>
      <c r="AV68" s="2">
        <f>+IF($D68&lt;&gt;"",AV$6*$S68/$T$4*VLOOKUP($M68,CÁRNICOS!$CD$13:$CJ$48,5,FALSE),AV$5*$S68/$T$4*$AS$1)</f>
        <v>7.2</v>
      </c>
      <c r="AW68" s="2">
        <f>+IF($D68&lt;&gt;"",AW$6*$T68/$T$4*VLOOKUP($M68,CÁRNICOS!$CD$13:$CJ$48,5,FALSE),AW$5*$T68/$T$4*$AS$1)</f>
        <v>1</v>
      </c>
      <c r="AX68" s="120">
        <f>IF($H68&lt;&gt;"",0,SUM(AS68:AW68))</f>
        <v>8.1999999999999993</v>
      </c>
      <c r="AY68" s="149">
        <f>+ROUNDUP(AX68/AY$4,0)</f>
        <v>1</v>
      </c>
      <c r="AZ68" s="120">
        <f>+IF(AX68*AY68=0,0,(ROUNDUP(AX68/AY68,3)))</f>
        <v>8.1999999999999993</v>
      </c>
      <c r="BA68" s="2">
        <f>+IF($D68&lt;&gt;"",BA$6*$P68/$T$4*VLOOKUP($M68,CÁRNICOS!$CD$13:$CJ$48,6,FALSE),BA$5*$P68/$T$4*$BA$1)</f>
        <v>0</v>
      </c>
      <c r="BB68" s="2">
        <f>+IF($D68&lt;&gt;"",BB$6*$Q68/$T$4*VLOOKUP($M68,CÁRNICOS!$CD$13:$CJ$48,6,FALSE),BB$5*$Q68/$T$4*$BA$1)</f>
        <v>0</v>
      </c>
      <c r="BC68" s="2">
        <f>+IF($D68&lt;&gt;"",BC$6*$R68/$T$4*VLOOKUP($M68,CÁRNICOS!$CD$13:$CJ$48,6,FALSE),BC$5*$R68/$T$4*$BA$1)</f>
        <v>0</v>
      </c>
      <c r="BD68" s="2">
        <f>+IF($D68&lt;&gt;"",BD$6*$S68/$T$4*VLOOKUP($M68,CÁRNICOS!$CD$13:$CJ$48,6,FALSE),BD$5*$S68/$T$4*$BA$1)</f>
        <v>0</v>
      </c>
      <c r="BE68" s="2">
        <f>+IF($D68&lt;&gt;"",BE$6*$T68/$T$4*VLOOKUP($M68,CÁRNICOS!$CD$13:$CJ$48,6,FALSE),BE$5*$T68/$T$4*$BA$1)</f>
        <v>0</v>
      </c>
      <c r="BF68" s="120">
        <f t="shared" si="32"/>
        <v>0</v>
      </c>
      <c r="BG68" s="149">
        <f t="shared" si="33"/>
        <v>0</v>
      </c>
      <c r="BH68" s="120">
        <f t="shared" si="34"/>
        <v>0</v>
      </c>
      <c r="BI68" s="2">
        <f>+IF($D68&lt;&gt;"",BI$6*$P68/$T$4*VLOOKUP($M68,CÁRNICOS!$CD$13:$CJ$48,7,FALSE),BI$5*$P68/$T$4*$BI$1)</f>
        <v>0</v>
      </c>
      <c r="BJ68" s="2">
        <f>+IF($D68&lt;&gt;"",BJ$6*$Q68/$T$4*VLOOKUP($M68,CÁRNICOS!$CD$13:$CJ$48,7,FALSE),BJ$5*$Q68/$T$4*$BI$1)</f>
        <v>0</v>
      </c>
      <c r="BK68" s="2">
        <f>+IF($D68&lt;&gt;"",BK$6*$R68/$T$4*VLOOKUP($M68,CÁRNICOS!$CD$13:$CJ$48,7,FALSE),BK$5*$R68/$T$4*$BI$1)</f>
        <v>0</v>
      </c>
      <c r="BL68" s="2">
        <f>+IF($D68&lt;&gt;"",BL$6*$S68/$T$4*VLOOKUP($M68,CÁRNICOS!$CD$13:$CJ$48,7,FALSE),BL$5*$S68/$T$4*$BI$1)</f>
        <v>0</v>
      </c>
      <c r="BM68" s="2">
        <f>+IF($D68&lt;&gt;"",BM$6*$T68/$T$4*VLOOKUP($M68,CÁRNICOS!$CD$13:$CJ$48,7,FALSE),BM$5*$T68/$T$4*$BI$1)</f>
        <v>0</v>
      </c>
      <c r="BN68" s="120">
        <f t="shared" si="35"/>
        <v>0</v>
      </c>
      <c r="BO68" s="149">
        <f t="shared" si="16"/>
        <v>0</v>
      </c>
      <c r="BP68" s="120">
        <f t="shared" si="17"/>
        <v>0</v>
      </c>
      <c r="BR68" s="74">
        <f t="shared" si="6"/>
        <v>1</v>
      </c>
      <c r="BS68" s="74" t="str">
        <f t="shared" si="7"/>
        <v>VICTORIA</v>
      </c>
      <c r="BT68" s="74" t="str">
        <f t="shared" si="8"/>
        <v>INSTITUCION EDUCATIVA SAN PABLO</v>
      </c>
      <c r="BU68" s="74" t="str">
        <f t="shared" si="9"/>
        <v>INSTITUCION EDUCATIVA SAN PABLO - SEDE PRINCIPAL</v>
      </c>
      <c r="BV68" s="74">
        <f t="shared" si="10"/>
        <v>0</v>
      </c>
      <c r="BW68" s="74">
        <f t="shared" si="11"/>
        <v>0</v>
      </c>
      <c r="BX68" s="74">
        <f t="shared" si="12"/>
        <v>0</v>
      </c>
      <c r="BY68" s="74">
        <f t="shared" si="13"/>
        <v>8.1999999999999993</v>
      </c>
      <c r="BZ68" s="74">
        <f t="shared" si="14"/>
        <v>0</v>
      </c>
      <c r="CA68" s="74">
        <f t="shared" si="15"/>
        <v>0</v>
      </c>
    </row>
    <row r="69" spans="1:88" ht="29.95" customHeight="1" x14ac:dyDescent="0.3">
      <c r="B69" s="46">
        <f>+COUNTIF($M$8:M69,M69)</f>
        <v>3</v>
      </c>
      <c r="C69" s="14">
        <f>SUM(P69:T69)</f>
        <v>36</v>
      </c>
      <c r="D69" s="22" t="s">
        <v>73</v>
      </c>
      <c r="E69" s="124"/>
      <c r="F69" s="60"/>
      <c r="G69" s="60"/>
      <c r="H69" s="60"/>
      <c r="I69" s="60"/>
      <c r="J69" s="60"/>
      <c r="K69" s="59"/>
      <c r="L69" s="122">
        <v>5</v>
      </c>
      <c r="M69" s="162" t="s">
        <v>5</v>
      </c>
      <c r="N69" s="162" t="s">
        <v>8</v>
      </c>
      <c r="O69" s="163" t="s">
        <v>7</v>
      </c>
      <c r="P69" s="74">
        <v>0</v>
      </c>
      <c r="Q69" s="74">
        <v>18</v>
      </c>
      <c r="R69" s="139">
        <v>0</v>
      </c>
      <c r="S69" s="74">
        <v>13</v>
      </c>
      <c r="T69" s="74">
        <v>5</v>
      </c>
      <c r="U69" s="2">
        <f>+IF($D69&lt;&gt;"",U$6*$P69/$T$4*VLOOKUP($M69,CÁRNICOS!$CD$13:$CJ$48,2,FALSE),U$5*$P69/$T$4*$U$1)</f>
        <v>0</v>
      </c>
      <c r="V69" s="2">
        <f>+IF($D69&lt;&gt;"",V$6*$Q69/$T$4*VLOOKUP($M69,CÁRNICOS!$CD$13:$CJ$48,2,FALSE),V$5*$Q69/$T$4*$U$1)</f>
        <v>0</v>
      </c>
      <c r="W69" s="2">
        <f>+IF($D69&lt;&gt;"",W$6*$R69/$T$4*VLOOKUP($M69,CÁRNICOS!$CD$13:$CJ$48,2,FALSE),W$5*$R69/$T$4*$U$1)</f>
        <v>0</v>
      </c>
      <c r="X69" s="2">
        <f>+IF($D69&lt;&gt;"",X$6*$S69/$T$4*VLOOKUP($M69,CÁRNICOS!$CD$13:$CJ$48,2,FALSE),X$5*$S69/$T$4*$U$1)</f>
        <v>0</v>
      </c>
      <c r="Y69" s="2">
        <f>+IF($D69&lt;&gt;"",Y$6*$T69/$T$4*VLOOKUP($M69,CÁRNICOS!$CD$13:$CJ$48,2,FALSE),Y$5*$T69/$T$4*$U$1)</f>
        <v>0</v>
      </c>
      <c r="Z69" s="146">
        <f>IF($E69&lt;&gt;"",0,SUM(U69:Y69))</f>
        <v>0</v>
      </c>
      <c r="AA69" s="149">
        <f>+ROUNDUP(Z69/AA$4,0)</f>
        <v>0</v>
      </c>
      <c r="AB69" s="120">
        <f>+IF(Z69*AA69=0,0,(ROUNDUP(Z69/AA69,3)))</f>
        <v>0</v>
      </c>
      <c r="AC69" s="147">
        <f>+IF($D69&lt;&gt;"",AC$6*$P69/$T$4*VLOOKUP($M69,CÁRNICOS!$CD$13:$CJ$48,3,FALSE),AC$5*$P69/$T$4*$AC$1)</f>
        <v>0</v>
      </c>
      <c r="AD69" s="147">
        <f>+IF($D69&lt;&gt;"",AD$6*$Q69/$T$4*VLOOKUP($M69,CÁRNICOS!$CD$13:$CJ$48,3,FALSE),AD$5*$Q69/$T$4*$AC$1)</f>
        <v>0</v>
      </c>
      <c r="AE69" s="2">
        <f>+IF($D69&lt;&gt;"",AE$6*$R69/$T$4*VLOOKUP($M69,CÁRNICOS!$CD$13:$CJ$48,3,FALSE),AE$5*$R69/$T$4*$AC$1)</f>
        <v>0</v>
      </c>
      <c r="AF69" s="2">
        <f>+IF($D69&lt;&gt;"",AF$6*$S69/$T$4*VLOOKUP($M69,CÁRNICOS!$CD$13:$CJ$48,3,FALSE),AF$5*$S69/$T$4*$AC$1)</f>
        <v>0</v>
      </c>
      <c r="AG69" s="2">
        <f>+IF($D69&lt;&gt;"",AG$6*$T69/$T$4*VLOOKUP($M69,CÁRNICOS!$CD$13:$CJ$48,3,FALSE),AG$5*$T69/$T$4*$AC$1)</f>
        <v>0</v>
      </c>
      <c r="AH69" s="120">
        <f>IF($F69&lt;&gt;"",0,SUM(AC69:AG69))</f>
        <v>0</v>
      </c>
      <c r="AI69" s="149">
        <f>+ROUNDUP(AH69/AI$4,0)</f>
        <v>0</v>
      </c>
      <c r="AJ69" s="120">
        <f>+IF(AH69*AI69=0,0,(ROUNDUP(AH69/AI69,3)))</f>
        <v>0</v>
      </c>
      <c r="AK69" s="2">
        <f>+IF($D69&lt;&gt;"",AK$6*$P69/$T$4*VLOOKUP($M69,CÁRNICOS!$CD$13:$CJ$48,4,FALSE),AK$5*$P69/$T$4*$AK$1)</f>
        <v>0</v>
      </c>
      <c r="AL69" s="2">
        <f>+IF($D69&lt;&gt;"",AL$6*$Q69/$T$4*VLOOKUP($M69,CÁRNICOS!$CD$13:$CJ$48,4,FALSE),AL$5*$Q69/$T$4*$AK$1)</f>
        <v>0</v>
      </c>
      <c r="AM69" s="2">
        <f>+IF($D69&lt;&gt;"",AM$6*$R69/$T$4*VLOOKUP($M69,CÁRNICOS!$CD$13:$CJ$48,4,FALSE),AM$5*$R69/$T$4*$AK$1)</f>
        <v>0</v>
      </c>
      <c r="AN69" s="2">
        <f>+IF($D69&lt;&gt;"",AN$6*$S69/$T$4*VLOOKUP($M69,CÁRNICOS!$CD$13:$CJ$48,4,FALSE),AN$5*$S69/$T$4*$AK$1)</f>
        <v>0</v>
      </c>
      <c r="AO69" s="2">
        <f>+IF($D69&lt;&gt;"",AO$6*$T69/$T$4*VLOOKUP($M69,CÁRNICOS!$CD$13:$CJ$48,4,FALSE),AO$5*$T69/$T$4*$AK$1)</f>
        <v>0</v>
      </c>
      <c r="AP69" s="120">
        <f>IF($G69&lt;&gt;"",0,SUM(AK69:AO69))</f>
        <v>0</v>
      </c>
      <c r="AQ69" s="149">
        <f>+ROUNDUP(AP69/AQ$4,0)</f>
        <v>0</v>
      </c>
      <c r="AR69" s="120">
        <f>+IF(AP69*AQ69=0,0,(ROUNDUP(AP69/AQ69,3)))</f>
        <v>0</v>
      </c>
      <c r="AS69" s="2">
        <f>+IF($D69&lt;&gt;"",AS$6*$P69/$T$4*VLOOKUP($M69,CÁRNICOS!$CD$13:$CJ$48,5,FALSE),AS$5*$P69/$T$4*$AS$1)</f>
        <v>0</v>
      </c>
      <c r="AT69" s="2">
        <f>+IF($D69&lt;&gt;"",AT$6*$Q69/$T$4*VLOOKUP($M69,CÁRNICOS!$CD$13:$CJ$48,5,FALSE),AT$5*$Q69/$T$4*$AS$1)</f>
        <v>0.97199999999999998</v>
      </c>
      <c r="AU69" s="2">
        <f>+IF($D69&lt;&gt;"",AU$6*$R69/$T$4*VLOOKUP($M69,CÁRNICOS!$CD$13:$CJ$48,5,FALSE),AU$5*$R69/$T$4*$AS$1)</f>
        <v>0</v>
      </c>
      <c r="AV69" s="2">
        <f>+IF($D69&lt;&gt;"",AV$6*$S69/$T$4*VLOOKUP($M69,CÁRNICOS!$CD$13:$CJ$48,5,FALSE),AV$5*$S69/$T$4*$AS$1)</f>
        <v>1.04</v>
      </c>
      <c r="AW69" s="2">
        <f>+IF($D69&lt;&gt;"",AW$6*$T69/$T$4*VLOOKUP($M69,CÁRNICOS!$CD$13:$CJ$48,5,FALSE),AW$5*$T69/$T$4*$AS$1)</f>
        <v>0.5</v>
      </c>
      <c r="AX69" s="120">
        <f>IF($H69&lt;&gt;"",0,SUM(AS69:AW69))</f>
        <v>2.512</v>
      </c>
      <c r="AY69" s="149">
        <f>+ROUNDUP(AX69/AY$4,0)</f>
        <v>1</v>
      </c>
      <c r="AZ69" s="120">
        <f>+IF(AX69*AY69=0,0,(ROUNDUP(AX69/AY69,3)))</f>
        <v>2.512</v>
      </c>
      <c r="BA69" s="2">
        <f>+IF($D69&lt;&gt;"",BA$6*$P69/$T$4*VLOOKUP($M69,CÁRNICOS!$CD$13:$CJ$48,6,FALSE),BA$5*$P69/$T$4*$BA$1)</f>
        <v>0</v>
      </c>
      <c r="BB69" s="2">
        <f>+IF($D69&lt;&gt;"",BB$6*$Q69/$T$4*VLOOKUP($M69,CÁRNICOS!$CD$13:$CJ$48,6,FALSE),BB$5*$Q69/$T$4*$BA$1)</f>
        <v>0</v>
      </c>
      <c r="BC69" s="2">
        <f>+IF($D69&lt;&gt;"",BC$6*$R69/$T$4*VLOOKUP($M69,CÁRNICOS!$CD$13:$CJ$48,6,FALSE),BC$5*$R69/$T$4*$BA$1)</f>
        <v>0</v>
      </c>
      <c r="BD69" s="2">
        <f>+IF($D69&lt;&gt;"",BD$6*$S69/$T$4*VLOOKUP($M69,CÁRNICOS!$CD$13:$CJ$48,6,FALSE),BD$5*$S69/$T$4*$BA$1)</f>
        <v>0</v>
      </c>
      <c r="BE69" s="2">
        <f>+IF($D69&lt;&gt;"",BE$6*$T69/$T$4*VLOOKUP($M69,CÁRNICOS!$CD$13:$CJ$48,6,FALSE),BE$5*$T69/$T$4*$BA$1)</f>
        <v>0</v>
      </c>
      <c r="BF69" s="120">
        <f t="shared" si="32"/>
        <v>0</v>
      </c>
      <c r="BG69" s="149">
        <f t="shared" si="33"/>
        <v>0</v>
      </c>
      <c r="BH69" s="120">
        <f t="shared" si="34"/>
        <v>0</v>
      </c>
      <c r="BI69" s="2">
        <f>+IF($D69&lt;&gt;"",BI$6*$P69/$T$4*VLOOKUP($M69,CÁRNICOS!$CD$13:$CJ$48,7,FALSE),BI$5*$P69/$T$4*$BI$1)</f>
        <v>0</v>
      </c>
      <c r="BJ69" s="2">
        <f>+IF($D69&lt;&gt;"",BJ$6*$Q69/$T$4*VLOOKUP($M69,CÁRNICOS!$CD$13:$CJ$48,7,FALSE),BJ$5*$Q69/$T$4*$BI$1)</f>
        <v>0</v>
      </c>
      <c r="BK69" s="2">
        <f>+IF($D69&lt;&gt;"",BK$6*$R69/$T$4*VLOOKUP($M69,CÁRNICOS!$CD$13:$CJ$48,7,FALSE),BK$5*$R69/$T$4*$BI$1)</f>
        <v>0</v>
      </c>
      <c r="BL69" s="2">
        <f>+IF($D69&lt;&gt;"",BL$6*$S69/$T$4*VLOOKUP($M69,CÁRNICOS!$CD$13:$CJ$48,7,FALSE),BL$5*$S69/$T$4*$BI$1)</f>
        <v>0</v>
      </c>
      <c r="BM69" s="2">
        <f>+IF($D69&lt;&gt;"",BM$6*$T69/$T$4*VLOOKUP($M69,CÁRNICOS!$CD$13:$CJ$48,7,FALSE),BM$5*$T69/$T$4*$BI$1)</f>
        <v>0</v>
      </c>
      <c r="BN69" s="120">
        <f t="shared" si="35"/>
        <v>0</v>
      </c>
      <c r="BO69" s="149">
        <f t="shared" si="16"/>
        <v>0</v>
      </c>
      <c r="BP69" s="120">
        <f t="shared" si="17"/>
        <v>0</v>
      </c>
      <c r="BR69" s="74">
        <f t="shared" si="6"/>
        <v>5</v>
      </c>
      <c r="BS69" s="74" t="str">
        <f t="shared" si="7"/>
        <v>VICTORIA</v>
      </c>
      <c r="BT69" s="74" t="str">
        <f t="shared" si="8"/>
        <v>INSTITUCION EDUCATIVA ISAZA</v>
      </c>
      <c r="BU69" s="74" t="str">
        <f t="shared" si="9"/>
        <v>INSTITUCION EDUCATIVA ISAZA - SEDE PRINCIPAL</v>
      </c>
      <c r="BV69" s="74">
        <f t="shared" si="10"/>
        <v>0</v>
      </c>
      <c r="BW69" s="74">
        <f t="shared" si="11"/>
        <v>0</v>
      </c>
      <c r="BX69" s="74">
        <f t="shared" si="12"/>
        <v>0</v>
      </c>
      <c r="BY69" s="74">
        <f t="shared" si="13"/>
        <v>2.512</v>
      </c>
      <c r="BZ69" s="74">
        <f t="shared" si="14"/>
        <v>0</v>
      </c>
      <c r="CA69" s="74">
        <f t="shared" si="15"/>
        <v>0</v>
      </c>
    </row>
    <row r="70" spans="1:88" s="57" customFormat="1" ht="29.95" customHeight="1" x14ac:dyDescent="0.3">
      <c r="A70" s="6"/>
      <c r="B70" s="46">
        <v>1</v>
      </c>
      <c r="C70" s="14">
        <f>SUM(P70:T70)</f>
        <v>171</v>
      </c>
      <c r="D70" s="22" t="s">
        <v>73</v>
      </c>
      <c r="E70" s="124"/>
      <c r="F70" s="60"/>
      <c r="G70" s="60"/>
      <c r="H70" s="60"/>
      <c r="I70" s="60"/>
      <c r="J70" s="60"/>
      <c r="K70" s="59"/>
      <c r="L70" s="122" t="s">
        <v>76</v>
      </c>
      <c r="M70" s="162" t="s">
        <v>0</v>
      </c>
      <c r="N70" s="162" t="s">
        <v>223</v>
      </c>
      <c r="O70" s="163" t="s">
        <v>224</v>
      </c>
      <c r="P70" s="74">
        <v>26</v>
      </c>
      <c r="Q70" s="74">
        <v>145</v>
      </c>
      <c r="R70" s="139">
        <v>0</v>
      </c>
      <c r="S70" s="74">
        <v>0</v>
      </c>
      <c r="T70" s="74">
        <v>0</v>
      </c>
      <c r="U70" s="2">
        <f>+IF($D70&lt;&gt;"",U$6*$P70/$T$4*VLOOKUP($M70,CÁRNICOS!$CD$13:$CJ$48,2,FALSE),U$5*$P70/$T$4*$U$1)</f>
        <v>0</v>
      </c>
      <c r="V70" s="2">
        <f>+IF($D70&lt;&gt;"",V$6*$Q70/$T$4*VLOOKUP($M70,CÁRNICOS!$CD$13:$CJ$48,2,FALSE),V$5*$Q70/$T$4*$U$1)</f>
        <v>0</v>
      </c>
      <c r="W70" s="2">
        <f>+IF($D70&lt;&gt;"",W$6*$R70/$T$4*VLOOKUP($M70,CÁRNICOS!$CD$13:$CJ$48,2,FALSE),W$5*$R70/$T$4*$U$1)</f>
        <v>0</v>
      </c>
      <c r="X70" s="2">
        <f>+IF($D70&lt;&gt;"",X$6*$S70/$T$4*VLOOKUP($M70,CÁRNICOS!$CD$13:$CJ$48,2,FALSE),X$5*$S70/$T$4*$U$1)</f>
        <v>0</v>
      </c>
      <c r="Y70" s="2">
        <f>+IF($D70&lt;&gt;"",Y$6*$T70/$T$4*VLOOKUP($M70,CÁRNICOS!$CD$13:$CJ$48,2,FALSE),Y$5*$T70/$T$4*$U$1)</f>
        <v>0</v>
      </c>
      <c r="Z70" s="146">
        <f>IF($E70&lt;&gt;"",0,SUM(U70:Y70))</f>
        <v>0</v>
      </c>
      <c r="AA70" s="149">
        <f>+ROUNDUP(Z70/AA$4,0)</f>
        <v>0</v>
      </c>
      <c r="AB70" s="120">
        <f>+IF(Z70*AA70=0,0,(ROUNDUP(Z70/AA70,3)))</f>
        <v>0</v>
      </c>
      <c r="AC70" s="147">
        <f>+IF($D70&lt;&gt;"",AC$6*$P70/$T$4*VLOOKUP($M70,CÁRNICOS!$CD$13:$CJ$48,3,FALSE),AC$5*$P70/$T$4*$AC$1)</f>
        <v>0</v>
      </c>
      <c r="AD70" s="147">
        <f>+IF($D70&lt;&gt;"",AD$6*$Q70/$T$4*VLOOKUP($M70,CÁRNICOS!$CD$13:$CJ$48,3,FALSE),AD$5*$Q70/$T$4*$AC$1)</f>
        <v>0</v>
      </c>
      <c r="AE70" s="2">
        <f>+IF($D70&lt;&gt;"",AE$6*$R70/$T$4*VLOOKUP($M70,CÁRNICOS!$CD$13:$CJ$48,3,FALSE),AE$5*$R70/$T$4*$AC$1)</f>
        <v>0</v>
      </c>
      <c r="AF70" s="2">
        <f>+IF($D70&lt;&gt;"",AF$6*$S70/$T$4*VLOOKUP($M70,CÁRNICOS!$CD$13:$CJ$48,3,FALSE),AF$5*$S70/$T$4*$AC$1)</f>
        <v>0</v>
      </c>
      <c r="AG70" s="2">
        <f>+IF($D70&lt;&gt;"",AG$6*$T70/$T$4*VLOOKUP($M70,CÁRNICOS!$CD$13:$CJ$48,3,FALSE),AG$5*$T70/$T$4*$AC$1)</f>
        <v>0</v>
      </c>
      <c r="AH70" s="120">
        <f>IF($F70&lt;&gt;"",0,SUM(AC70:AG70))</f>
        <v>0</v>
      </c>
      <c r="AI70" s="149">
        <f>+ROUNDUP(AH70/AI$4,0)</f>
        <v>0</v>
      </c>
      <c r="AJ70" s="120">
        <f>+IF(AH70*AI70=0,0,(ROUNDUP(AH70/AI70,3)))</f>
        <v>0</v>
      </c>
      <c r="AK70" s="2">
        <f>+IF($D70&lt;&gt;"",AK$6*$P70/$T$4*VLOOKUP($M70,CÁRNICOS!$CD$13:$CJ$48,4,FALSE),AK$5*$P70/$T$4*$AK$1)</f>
        <v>0</v>
      </c>
      <c r="AL70" s="2">
        <f>+IF($D70&lt;&gt;"",AL$6*$Q70/$T$4*VLOOKUP($M70,CÁRNICOS!$CD$13:$CJ$48,4,FALSE),AL$5*$Q70/$T$4*$AK$1)</f>
        <v>0</v>
      </c>
      <c r="AM70" s="2">
        <f>+IF($D70&lt;&gt;"",AM$6*$R70/$T$4*VLOOKUP($M70,CÁRNICOS!$CD$13:$CJ$48,4,FALSE),AM$5*$R70/$T$4*$AK$1)</f>
        <v>0</v>
      </c>
      <c r="AN70" s="2">
        <f>+IF($D70&lt;&gt;"",AN$6*$S70/$T$4*VLOOKUP($M70,CÁRNICOS!$CD$13:$CJ$48,4,FALSE),AN$5*$S70/$T$4*$AK$1)</f>
        <v>0</v>
      </c>
      <c r="AO70" s="2">
        <f>+IF($D70&lt;&gt;"",AO$6*$T70/$T$4*VLOOKUP($M70,CÁRNICOS!$CD$13:$CJ$48,4,FALSE),AO$5*$T70/$T$4*$AK$1)</f>
        <v>0</v>
      </c>
      <c r="AP70" s="120">
        <f>IF($G70&lt;&gt;"",0,SUM(AK70:AO70))</f>
        <v>0</v>
      </c>
      <c r="AQ70" s="149">
        <f>+ROUNDUP(AP70/AQ$4,0)</f>
        <v>0</v>
      </c>
      <c r="AR70" s="120">
        <f>+IF(AP70*AQ70=0,0,(ROUNDUP(AP70/AQ70,3)))</f>
        <v>0</v>
      </c>
      <c r="AS70" s="2">
        <f>+IF($D70&lt;&gt;"",AS$6*$P70/$T$4*VLOOKUP($M70,CÁRNICOS!$CD$13:$CJ$48,5,FALSE),AS$5*$P70/$T$4*$AS$1)</f>
        <v>1.4039999999999999</v>
      </c>
      <c r="AT70" s="2">
        <f>+IF($D70&lt;&gt;"",AT$6*$Q70/$T$4*VLOOKUP($M70,CÁRNICOS!$CD$13:$CJ$48,5,FALSE),AT$5*$Q70/$T$4*$AS$1)</f>
        <v>7.83</v>
      </c>
      <c r="AU70" s="2">
        <f>+IF($D70&lt;&gt;"",AU$6*$R70/$T$4*VLOOKUP($M70,CÁRNICOS!$CD$13:$CJ$48,5,FALSE),AU$5*$R70/$T$4*$AS$1)</f>
        <v>0</v>
      </c>
      <c r="AV70" s="2">
        <f>+IF($D70&lt;&gt;"",AV$6*$S70/$T$4*VLOOKUP($M70,CÁRNICOS!$CD$13:$CJ$48,5,FALSE),AV$5*$S70/$T$4*$AS$1)</f>
        <v>0</v>
      </c>
      <c r="AW70" s="2">
        <f>+IF($D70&lt;&gt;"",AW$6*$T70/$T$4*VLOOKUP($M70,CÁRNICOS!$CD$13:$CJ$48,5,FALSE),AW$5*$T70/$T$4*$AS$1)</f>
        <v>0</v>
      </c>
      <c r="AX70" s="120">
        <f>IF($H70&lt;&gt;"",0,SUM(AS70:AW70))</f>
        <v>9.234</v>
      </c>
      <c r="AY70" s="149">
        <f>+ROUNDUP(AX70/AY$4,0)</f>
        <v>1</v>
      </c>
      <c r="AZ70" s="120">
        <f>+IF(AX70*AY70=0,0,(ROUNDUP(AX70/AY70,3)))</f>
        <v>9.234</v>
      </c>
      <c r="BA70" s="2">
        <f>+IF($D70&lt;&gt;"",BA$6*$P70/$T$4*VLOOKUP($M70,CÁRNICOS!$CD$13:$CJ$48,6,FALSE),BA$5*$P70/$T$4*$BA$1)</f>
        <v>0</v>
      </c>
      <c r="BB70" s="2">
        <f>+IF($D70&lt;&gt;"",BB$6*$Q70/$T$4*VLOOKUP($M70,CÁRNICOS!$CD$13:$CJ$48,6,FALSE),BB$5*$Q70/$T$4*$BA$1)</f>
        <v>0</v>
      </c>
      <c r="BC70" s="2">
        <f>+IF($D70&lt;&gt;"",BC$6*$R70/$T$4*VLOOKUP($M70,CÁRNICOS!$CD$13:$CJ$48,6,FALSE),BC$5*$R70/$T$4*$BA$1)</f>
        <v>0</v>
      </c>
      <c r="BD70" s="2">
        <f>+IF($D70&lt;&gt;"",BD$6*$S70/$T$4*VLOOKUP($M70,CÁRNICOS!$CD$13:$CJ$48,6,FALSE),BD$5*$S70/$T$4*$BA$1)</f>
        <v>0</v>
      </c>
      <c r="BE70" s="2">
        <f>+IF($D70&lt;&gt;"",BE$6*$T70/$T$4*VLOOKUP($M70,CÁRNICOS!$CD$13:$CJ$48,6,FALSE),BE$5*$T70/$T$4*$BA$1)</f>
        <v>0</v>
      </c>
      <c r="BF70" s="120">
        <f t="shared" si="32"/>
        <v>0</v>
      </c>
      <c r="BG70" s="149">
        <f t="shared" si="33"/>
        <v>0</v>
      </c>
      <c r="BH70" s="120">
        <f t="shared" si="34"/>
        <v>0</v>
      </c>
      <c r="BI70" s="2">
        <f>+IF($D70&lt;&gt;"",BI$6*$P70/$T$4*VLOOKUP($M70,CÁRNICOS!$CD$13:$CJ$48,7,FALSE),BI$5*$P70/$T$4*$BI$1)</f>
        <v>0</v>
      </c>
      <c r="BJ70" s="2">
        <f>+IF($D70&lt;&gt;"",BJ$6*$Q70/$T$4*VLOOKUP($M70,CÁRNICOS!$CD$13:$CJ$48,7,FALSE),BJ$5*$Q70/$T$4*$BI$1)</f>
        <v>0</v>
      </c>
      <c r="BK70" s="2">
        <f>+IF($D70&lt;&gt;"",BK$6*$R70/$T$4*VLOOKUP($M70,CÁRNICOS!$CD$13:$CJ$48,7,FALSE),BK$5*$R70/$T$4*$BI$1)</f>
        <v>0</v>
      </c>
      <c r="BL70" s="2">
        <f>+IF($D70&lt;&gt;"",BL$6*$S70/$T$4*VLOOKUP($M70,CÁRNICOS!$CD$13:$CJ$48,7,FALSE),BL$5*$S70/$T$4*$BI$1)</f>
        <v>0</v>
      </c>
      <c r="BM70" s="2">
        <f>+IF($D70&lt;&gt;"",BM$6*$T70/$T$4*VLOOKUP($M70,CÁRNICOS!$CD$13:$CJ$48,7,FALSE),BM$5*$T70/$T$4*$BI$1)</f>
        <v>0</v>
      </c>
      <c r="BN70" s="120">
        <f t="shared" si="35"/>
        <v>0</v>
      </c>
      <c r="BO70" s="149">
        <f t="shared" si="16"/>
        <v>0</v>
      </c>
      <c r="BP70" s="120">
        <f t="shared" si="17"/>
        <v>0</v>
      </c>
      <c r="BR70" s="74" t="str">
        <f t="shared" si="6"/>
        <v>U</v>
      </c>
      <c r="BS70" s="74" t="str">
        <f t="shared" si="7"/>
        <v>VILLAMARÍA</v>
      </c>
      <c r="BT70" s="74" t="str">
        <f t="shared" si="8"/>
        <v>INSTITUCION EDUCATIVA SANTA LUISA DE MARILLAC</v>
      </c>
      <c r="BU70" s="74" t="str">
        <f t="shared" si="9"/>
        <v>INSTITUCION EDUCATIVA SANTA LUISA DE MARILLAC - SEDE PRINCIPAL</v>
      </c>
      <c r="BV70" s="74">
        <f t="shared" si="10"/>
        <v>0</v>
      </c>
      <c r="BW70" s="74">
        <f t="shared" si="11"/>
        <v>0</v>
      </c>
      <c r="BX70" s="74">
        <f t="shared" si="12"/>
        <v>0</v>
      </c>
      <c r="BY70" s="74">
        <f t="shared" si="13"/>
        <v>9.234</v>
      </c>
      <c r="BZ70" s="74">
        <f t="shared" si="14"/>
        <v>0</v>
      </c>
      <c r="CA70" s="74">
        <f t="shared" si="15"/>
        <v>0</v>
      </c>
      <c r="CD70" s="6"/>
      <c r="CE70" s="6"/>
      <c r="CF70" s="6"/>
      <c r="CG70" s="6"/>
      <c r="CH70" s="6"/>
      <c r="CI70" s="6"/>
      <c r="CJ70" s="6"/>
    </row>
    <row r="71" spans="1:88" ht="29.95" customHeight="1" x14ac:dyDescent="0.3">
      <c r="B71" s="46">
        <f>+COUNTIF($M$8:M71,M71)</f>
        <v>1</v>
      </c>
      <c r="C71" s="14">
        <f>SUM(P71:T71)</f>
        <v>32</v>
      </c>
      <c r="D71" s="22" t="s">
        <v>73</v>
      </c>
      <c r="E71" s="124"/>
      <c r="F71" s="60"/>
      <c r="G71" s="60"/>
      <c r="H71" s="60"/>
      <c r="I71" s="60"/>
      <c r="J71" s="60"/>
      <c r="K71" s="59"/>
      <c r="L71" s="122">
        <v>1</v>
      </c>
      <c r="M71" s="162" t="s">
        <v>36</v>
      </c>
      <c r="N71" s="162" t="s">
        <v>269</v>
      </c>
      <c r="O71" s="163" t="s">
        <v>270</v>
      </c>
      <c r="P71" s="74">
        <v>0</v>
      </c>
      <c r="Q71" s="74">
        <v>0</v>
      </c>
      <c r="R71" s="139">
        <v>32</v>
      </c>
      <c r="S71" s="74">
        <v>0</v>
      </c>
      <c r="T71" s="74">
        <v>0</v>
      </c>
      <c r="U71" s="2">
        <f>+IF($D71&lt;&gt;"",U$6*$P71/$T$4*VLOOKUP($M71,CÁRNICOS!$CD$13:$CJ$48,2,FALSE),U$5*$P71/$T$4*$U$1)</f>
        <v>0</v>
      </c>
      <c r="V71" s="2">
        <f>+IF($D71&lt;&gt;"",V$6*$Q71/$T$4*VLOOKUP($M71,CÁRNICOS!$CD$13:$CJ$48,2,FALSE),V$5*$Q71/$T$4*$U$1)</f>
        <v>0</v>
      </c>
      <c r="W71" s="2">
        <f>+IF($D71&lt;&gt;"",W$6*$R71/$T$4*VLOOKUP($M71,CÁRNICOS!$CD$13:$CJ$48,2,FALSE),W$5*$R71/$T$4*$U$1)</f>
        <v>0</v>
      </c>
      <c r="X71" s="2">
        <f>+IF($D71&lt;&gt;"",X$6*$S71/$T$4*VLOOKUP($M71,CÁRNICOS!$CD$13:$CJ$48,2,FALSE),X$5*$S71/$T$4*$U$1)</f>
        <v>0</v>
      </c>
      <c r="Y71" s="2">
        <f>+IF($D71&lt;&gt;"",Y$6*$T71/$T$4*VLOOKUP($M71,CÁRNICOS!$CD$13:$CJ$48,2,FALSE),Y$5*$T71/$T$4*$U$1)</f>
        <v>0</v>
      </c>
      <c r="Z71" s="146">
        <f>IF($E71&lt;&gt;"",0,SUM(U71:Y71))</f>
        <v>0</v>
      </c>
      <c r="AA71" s="149">
        <f>+ROUNDUP(Z71/AA$4,0)</f>
        <v>0</v>
      </c>
      <c r="AB71" s="120">
        <f>+IF(Z71*AA71=0,0,(ROUNDUP(Z71/AA71,3)))</f>
        <v>0</v>
      </c>
      <c r="AC71" s="147">
        <f>+IF($D71&lt;&gt;"",AC$6*$P71/$T$4*VLOOKUP($M71,CÁRNICOS!$CD$13:$CJ$48,3,FALSE),AC$5*$P71/$T$4*$AC$1)</f>
        <v>0</v>
      </c>
      <c r="AD71" s="147">
        <f>+IF($D71&lt;&gt;"",AD$6*$Q71/$T$4*VLOOKUP($M71,CÁRNICOS!$CD$13:$CJ$48,3,FALSE),AD$5*$Q71/$T$4*$AC$1)</f>
        <v>0</v>
      </c>
      <c r="AE71" s="2">
        <f>+IF($D71&lt;&gt;"",AE$6*$R71/$T$4*VLOOKUP($M71,CÁRNICOS!$CD$13:$CJ$48,3,FALSE),AE$5*$R71/$T$4*$AC$1)</f>
        <v>0</v>
      </c>
      <c r="AF71" s="2">
        <f>+IF($D71&lt;&gt;"",AF$6*$S71/$T$4*VLOOKUP($M71,CÁRNICOS!$CD$13:$CJ$48,3,FALSE),AF$5*$S71/$T$4*$AC$1)</f>
        <v>0</v>
      </c>
      <c r="AG71" s="2">
        <f>+IF($D71&lt;&gt;"",AG$6*$T71/$T$4*VLOOKUP($M71,CÁRNICOS!$CD$13:$CJ$48,3,FALSE),AG$5*$T71/$T$4*$AC$1)</f>
        <v>0</v>
      </c>
      <c r="AH71" s="120">
        <f>IF($F71&lt;&gt;"",0,SUM(AC71:AG71))</f>
        <v>0</v>
      </c>
      <c r="AI71" s="149">
        <f>+ROUNDUP(AH71/AI$4,0)</f>
        <v>0</v>
      </c>
      <c r="AJ71" s="120">
        <f>+IF(AH71*AI71=0,0,(ROUNDUP(AH71/AI71,3)))</f>
        <v>0</v>
      </c>
      <c r="AK71" s="2">
        <f>+IF($D71&lt;&gt;"",AK$6*$P71/$T$4*VLOOKUP($M71,CÁRNICOS!$CD$13:$CJ$48,4,FALSE),AK$5*$P71/$T$4*$AK$1)</f>
        <v>0</v>
      </c>
      <c r="AL71" s="2">
        <f>+IF($D71&lt;&gt;"",AL$6*$Q71/$T$4*VLOOKUP($M71,CÁRNICOS!$CD$13:$CJ$48,4,FALSE),AL$5*$Q71/$T$4*$AK$1)</f>
        <v>0</v>
      </c>
      <c r="AM71" s="2">
        <f>+IF($D71&lt;&gt;"",AM$6*$R71/$T$4*VLOOKUP($M71,CÁRNICOS!$CD$13:$CJ$48,4,FALSE),AM$5*$R71/$T$4*$AK$1)</f>
        <v>0</v>
      </c>
      <c r="AN71" s="2">
        <f>+IF($D71&lt;&gt;"",AN$6*$S71/$T$4*VLOOKUP($M71,CÁRNICOS!$CD$13:$CJ$48,4,FALSE),AN$5*$S71/$T$4*$AK$1)</f>
        <v>0</v>
      </c>
      <c r="AO71" s="2">
        <f>+IF($D71&lt;&gt;"",AO$6*$T71/$T$4*VLOOKUP($M71,CÁRNICOS!$CD$13:$CJ$48,4,FALSE),AO$5*$T71/$T$4*$AK$1)</f>
        <v>0</v>
      </c>
      <c r="AP71" s="120">
        <f>IF($G71&lt;&gt;"",0,SUM(AK71:AO71))</f>
        <v>0</v>
      </c>
      <c r="AQ71" s="149">
        <f>+ROUNDUP(AP71/AQ$4,0)</f>
        <v>0</v>
      </c>
      <c r="AR71" s="120">
        <f>+IF(AP71*AQ71=0,0,(ROUNDUP(AP71/AQ71,3)))</f>
        <v>0</v>
      </c>
      <c r="AS71" s="2">
        <f>+IF($D71&lt;&gt;"",AS$6*$P71/$T$4*VLOOKUP($M71,CÁRNICOS!$CD$13:$CJ$48,5,FALSE),AS$5*$P71/$T$4*$AS$1)</f>
        <v>0</v>
      </c>
      <c r="AT71" s="2">
        <f>+IF($D71&lt;&gt;"",AT$6*$Q71/$T$4*VLOOKUP($M71,CÁRNICOS!$CD$13:$CJ$48,5,FALSE),AT$5*$Q71/$T$4*$AS$1)</f>
        <v>0</v>
      </c>
      <c r="AU71" s="2">
        <f>+IF($D71&lt;&gt;"",AU$6*$R71/$T$4*VLOOKUP($M71,CÁRNICOS!$CD$13:$CJ$48,5,FALSE),AU$5*$R71/$T$4*$AS$1)</f>
        <v>2.08</v>
      </c>
      <c r="AV71" s="2">
        <f>+IF($D71&lt;&gt;"",AV$6*$S71/$T$4*VLOOKUP($M71,CÁRNICOS!$CD$13:$CJ$48,5,FALSE),AV$5*$S71/$T$4*$AS$1)</f>
        <v>0</v>
      </c>
      <c r="AW71" s="2">
        <f>+IF($D71&lt;&gt;"",AW$6*$T71/$T$4*VLOOKUP($M71,CÁRNICOS!$CD$13:$CJ$48,5,FALSE),AW$5*$T71/$T$4*$AS$1)</f>
        <v>0</v>
      </c>
      <c r="AX71" s="120">
        <f>IF($H71&lt;&gt;"",0,SUM(AS71:AW71))</f>
        <v>2.08</v>
      </c>
      <c r="AY71" s="149">
        <f>+ROUNDUP(AX71/AY$4,0)</f>
        <v>1</v>
      </c>
      <c r="AZ71" s="120">
        <f>+IF(AX71*AY71=0,0,(ROUNDUP(AX71/AY71,3)))</f>
        <v>2.08</v>
      </c>
      <c r="BA71" s="2">
        <f>+IF($D71&lt;&gt;"",BA$6*$P71/$T$4*VLOOKUP($M71,CÁRNICOS!$CD$13:$CJ$48,6,FALSE),BA$5*$P71/$T$4*$BA$1)</f>
        <v>0</v>
      </c>
      <c r="BB71" s="2">
        <f>+IF($D71&lt;&gt;"",BB$6*$Q71/$T$4*VLOOKUP($M71,CÁRNICOS!$CD$13:$CJ$48,6,FALSE),BB$5*$Q71/$T$4*$BA$1)</f>
        <v>0</v>
      </c>
      <c r="BC71" s="2">
        <f>+IF($D71&lt;&gt;"",BC$6*$R71/$T$4*VLOOKUP($M71,CÁRNICOS!$CD$13:$CJ$48,6,FALSE),BC$5*$R71/$T$4*$BA$1)</f>
        <v>0</v>
      </c>
      <c r="BD71" s="2">
        <f>+IF($D71&lt;&gt;"",BD$6*$S71/$T$4*VLOOKUP($M71,CÁRNICOS!$CD$13:$CJ$48,6,FALSE),BD$5*$S71/$T$4*$BA$1)</f>
        <v>0</v>
      </c>
      <c r="BE71" s="2">
        <f>+IF($D71&lt;&gt;"",BE$6*$T71/$T$4*VLOOKUP($M71,CÁRNICOS!$CD$13:$CJ$48,6,FALSE),BE$5*$T71/$T$4*$BA$1)</f>
        <v>0</v>
      </c>
      <c r="BF71" s="120">
        <f t="shared" si="32"/>
        <v>0</v>
      </c>
      <c r="BG71" s="149">
        <f t="shared" si="33"/>
        <v>0</v>
      </c>
      <c r="BH71" s="120">
        <f t="shared" si="34"/>
        <v>0</v>
      </c>
      <c r="BI71" s="2">
        <f>+IF($D71&lt;&gt;"",BI$6*$P71/$T$4*VLOOKUP($M71,CÁRNICOS!$CD$13:$CJ$48,7,FALSE),BI$5*$P71/$T$4*$BI$1)</f>
        <v>0</v>
      </c>
      <c r="BJ71" s="2">
        <f>+IF($D71&lt;&gt;"",BJ$6*$Q71/$T$4*VLOOKUP($M71,CÁRNICOS!$CD$13:$CJ$48,7,FALSE),BJ$5*$Q71/$T$4*$BI$1)</f>
        <v>0</v>
      </c>
      <c r="BK71" s="2">
        <f>+IF($D71&lt;&gt;"",BK$6*$R71/$T$4*VLOOKUP($M71,CÁRNICOS!$CD$13:$CJ$48,7,FALSE),BK$5*$R71/$T$4*$BI$1)</f>
        <v>0</v>
      </c>
      <c r="BL71" s="2">
        <f>+IF($D71&lt;&gt;"",BL$6*$S71/$T$4*VLOOKUP($M71,CÁRNICOS!$CD$13:$CJ$48,7,FALSE),BL$5*$S71/$T$4*$BI$1)</f>
        <v>0</v>
      </c>
      <c r="BM71" s="2">
        <f>+IF($D71&lt;&gt;"",BM$6*$T71/$T$4*VLOOKUP($M71,CÁRNICOS!$CD$13:$CJ$48,7,FALSE),BM$5*$T71/$T$4*$BI$1)</f>
        <v>0</v>
      </c>
      <c r="BN71" s="120">
        <f t="shared" si="35"/>
        <v>0</v>
      </c>
      <c r="BO71" s="149">
        <f t="shared" si="16"/>
        <v>0</v>
      </c>
      <c r="BP71" s="120">
        <f t="shared" si="17"/>
        <v>0</v>
      </c>
      <c r="BR71" s="74">
        <f t="shared" si="6"/>
        <v>1</v>
      </c>
      <c r="BS71" s="74" t="str">
        <f t="shared" si="7"/>
        <v>VITERBO</v>
      </c>
      <c r="BT71" s="74" t="str">
        <f t="shared" si="8"/>
        <v>INSTITUCION EDUCATIVA LA MILAGROSA</v>
      </c>
      <c r="BU71" s="74" t="str">
        <f t="shared" si="9"/>
        <v>CONCENTRACIÓN ESCOLAR RAFAEL POMBO</v>
      </c>
      <c r="BV71" s="74">
        <f t="shared" si="10"/>
        <v>0</v>
      </c>
      <c r="BW71" s="74">
        <f t="shared" si="11"/>
        <v>0</v>
      </c>
      <c r="BX71" s="74">
        <f t="shared" si="12"/>
        <v>0</v>
      </c>
      <c r="BY71" s="74">
        <f t="shared" si="13"/>
        <v>2.08</v>
      </c>
      <c r="BZ71" s="74">
        <f t="shared" si="14"/>
        <v>0</v>
      </c>
      <c r="CA71" s="74">
        <f t="shared" si="15"/>
        <v>0</v>
      </c>
      <c r="CD71" s="57"/>
      <c r="CE71" s="57"/>
      <c r="CF71" s="57"/>
      <c r="CG71" s="57"/>
      <c r="CH71" s="57"/>
      <c r="CI71" s="57"/>
      <c r="CJ71" s="57"/>
    </row>
    <row r="72" spans="1:88" ht="29.95" customHeight="1" x14ac:dyDescent="0.3">
      <c r="B72" s="46">
        <f>+B71+1</f>
        <v>2</v>
      </c>
      <c r="C72" s="14">
        <f>SUM(P72:T72)</f>
        <v>27</v>
      </c>
      <c r="D72" s="22" t="s">
        <v>73</v>
      </c>
      <c r="E72" s="124"/>
      <c r="F72" s="60"/>
      <c r="G72" s="60"/>
      <c r="H72" s="60"/>
      <c r="I72" s="60"/>
      <c r="J72" s="60"/>
      <c r="K72" s="59"/>
      <c r="L72" s="122">
        <v>1</v>
      </c>
      <c r="M72" s="162" t="s">
        <v>36</v>
      </c>
      <c r="N72" s="162" t="s">
        <v>271</v>
      </c>
      <c r="O72" s="163" t="s">
        <v>272</v>
      </c>
      <c r="P72" s="74">
        <v>0</v>
      </c>
      <c r="Q72" s="74">
        <v>27</v>
      </c>
      <c r="R72" s="139">
        <v>0</v>
      </c>
      <c r="S72" s="74">
        <v>0</v>
      </c>
      <c r="T72" s="74">
        <v>0</v>
      </c>
      <c r="U72" s="2">
        <f>+IF($D72&lt;&gt;"",U$6*$P72/$T$4*VLOOKUP($M72,CÁRNICOS!$CD$13:$CJ$48,2,FALSE),U$5*$P72/$T$4*$U$1)</f>
        <v>0</v>
      </c>
      <c r="V72" s="2">
        <f>+IF($D72&lt;&gt;"",V$6*$Q72/$T$4*VLOOKUP($M72,CÁRNICOS!$CD$13:$CJ$48,2,FALSE),V$5*$Q72/$T$4*$U$1)</f>
        <v>0</v>
      </c>
      <c r="W72" s="2">
        <f>+IF($D72&lt;&gt;"",W$6*$R72/$T$4*VLOOKUP($M72,CÁRNICOS!$CD$13:$CJ$48,2,FALSE),W$5*$R72/$T$4*$U$1)</f>
        <v>0</v>
      </c>
      <c r="X72" s="2">
        <f>+IF($D72&lt;&gt;"",X$6*$S72/$T$4*VLOOKUP($M72,CÁRNICOS!$CD$13:$CJ$48,2,FALSE),X$5*$S72/$T$4*$U$1)</f>
        <v>0</v>
      </c>
      <c r="Y72" s="2">
        <f>+IF($D72&lt;&gt;"",Y$6*$T72/$T$4*VLOOKUP($M72,CÁRNICOS!$CD$13:$CJ$48,2,FALSE),Y$5*$T72/$T$4*$U$1)</f>
        <v>0</v>
      </c>
      <c r="Z72" s="146">
        <f>IF($E72&lt;&gt;"",0,SUM(U72:Y72))</f>
        <v>0</v>
      </c>
      <c r="AA72" s="149">
        <f>+ROUNDUP(Z72/AA$4,0)</f>
        <v>0</v>
      </c>
      <c r="AB72" s="120">
        <f>+IF(Z72*AA72=0,0,(ROUNDUP(Z72/AA72,3)))</f>
        <v>0</v>
      </c>
      <c r="AC72" s="147">
        <f>+IF($D72&lt;&gt;"",AC$6*$P72/$T$4*VLOOKUP($M72,CÁRNICOS!$CD$13:$CJ$48,3,FALSE),AC$5*$P72/$T$4*$AC$1)</f>
        <v>0</v>
      </c>
      <c r="AD72" s="147">
        <f>+IF($D72&lt;&gt;"",AD$6*$Q72/$T$4*VLOOKUP($M72,CÁRNICOS!$CD$13:$CJ$48,3,FALSE),AD$5*$Q72/$T$4*$AC$1)</f>
        <v>0</v>
      </c>
      <c r="AE72" s="2">
        <f>+IF($D72&lt;&gt;"",AE$6*$R72/$T$4*VLOOKUP($M72,CÁRNICOS!$CD$13:$CJ$48,3,FALSE),AE$5*$R72/$T$4*$AC$1)</f>
        <v>0</v>
      </c>
      <c r="AF72" s="2">
        <f>+IF($D72&lt;&gt;"",AF$6*$S72/$T$4*VLOOKUP($M72,CÁRNICOS!$CD$13:$CJ$48,3,FALSE),AF$5*$S72/$T$4*$AC$1)</f>
        <v>0</v>
      </c>
      <c r="AG72" s="2">
        <f>+IF($D72&lt;&gt;"",AG$6*$T72/$T$4*VLOOKUP($M72,CÁRNICOS!$CD$13:$CJ$48,3,FALSE),AG$5*$T72/$T$4*$AC$1)</f>
        <v>0</v>
      </c>
      <c r="AH72" s="120">
        <f>IF($F72&lt;&gt;"",0,SUM(AC72:AG72))</f>
        <v>0</v>
      </c>
      <c r="AI72" s="149">
        <f>+ROUNDUP(AH72/AI$4,0)</f>
        <v>0</v>
      </c>
      <c r="AJ72" s="120">
        <f>+IF(AH72*AI72=0,0,(ROUNDUP(AH72/AI72,3)))</f>
        <v>0</v>
      </c>
      <c r="AK72" s="2">
        <f>+IF($D72&lt;&gt;"",AK$6*$P72/$T$4*VLOOKUP($M72,CÁRNICOS!$CD$13:$CJ$48,4,FALSE),AK$5*$P72/$T$4*$AK$1)</f>
        <v>0</v>
      </c>
      <c r="AL72" s="2">
        <f>+IF($D72&lt;&gt;"",AL$6*$Q72/$T$4*VLOOKUP($M72,CÁRNICOS!$CD$13:$CJ$48,4,FALSE),AL$5*$Q72/$T$4*$AK$1)</f>
        <v>0</v>
      </c>
      <c r="AM72" s="2">
        <f>+IF($D72&lt;&gt;"",AM$6*$R72/$T$4*VLOOKUP($M72,CÁRNICOS!$CD$13:$CJ$48,4,FALSE),AM$5*$R72/$T$4*$AK$1)</f>
        <v>0</v>
      </c>
      <c r="AN72" s="2">
        <f>+IF($D72&lt;&gt;"",AN$6*$S72/$T$4*VLOOKUP($M72,CÁRNICOS!$CD$13:$CJ$48,4,FALSE),AN$5*$S72/$T$4*$AK$1)</f>
        <v>0</v>
      </c>
      <c r="AO72" s="2">
        <f>+IF($D72&lt;&gt;"",AO$6*$T72/$T$4*VLOOKUP($M72,CÁRNICOS!$CD$13:$CJ$48,4,FALSE),AO$5*$T72/$T$4*$AK$1)</f>
        <v>0</v>
      </c>
      <c r="AP72" s="120">
        <f>IF($G72&lt;&gt;"",0,SUM(AK72:AO72))</f>
        <v>0</v>
      </c>
      <c r="AQ72" s="149">
        <f>+ROUNDUP(AP72/AQ$4,0)</f>
        <v>0</v>
      </c>
      <c r="AR72" s="120">
        <f>+IF(AP72*AQ72=0,0,(ROUNDUP(AP72/AQ72,3)))</f>
        <v>0</v>
      </c>
      <c r="AS72" s="2">
        <f>+IF($D72&lt;&gt;"",AS$6*$P72/$T$4*VLOOKUP($M72,CÁRNICOS!$CD$13:$CJ$48,5,FALSE),AS$5*$P72/$T$4*$AS$1)</f>
        <v>0</v>
      </c>
      <c r="AT72" s="2">
        <f>+IF($D72&lt;&gt;"",AT$6*$Q72/$T$4*VLOOKUP($M72,CÁRNICOS!$CD$13:$CJ$48,5,FALSE),AT$5*$Q72/$T$4*$AS$1)</f>
        <v>1.458</v>
      </c>
      <c r="AU72" s="2">
        <f>+IF($D72&lt;&gt;"",AU$6*$R72/$T$4*VLOOKUP($M72,CÁRNICOS!$CD$13:$CJ$48,5,FALSE),AU$5*$R72/$T$4*$AS$1)</f>
        <v>0</v>
      </c>
      <c r="AV72" s="2">
        <f>+IF($D72&lt;&gt;"",AV$6*$S72/$T$4*VLOOKUP($M72,CÁRNICOS!$CD$13:$CJ$48,5,FALSE),AV$5*$S72/$T$4*$AS$1)</f>
        <v>0</v>
      </c>
      <c r="AW72" s="2">
        <f>+IF($D72&lt;&gt;"",AW$6*$T72/$T$4*VLOOKUP($M72,CÁRNICOS!$CD$13:$CJ$48,5,FALSE),AW$5*$T72/$T$4*$AS$1)</f>
        <v>0</v>
      </c>
      <c r="AX72" s="120">
        <f>IF($H72&lt;&gt;"",0,SUM(AS72:AW72))</f>
        <v>1.458</v>
      </c>
      <c r="AY72" s="149">
        <f>+ROUNDUP(AX72/AY$4,0)</f>
        <v>1</v>
      </c>
      <c r="AZ72" s="120">
        <f>+IF(AX72*AY72=0,0,(ROUNDUP(AX72/AY72,3)))</f>
        <v>1.458</v>
      </c>
      <c r="BA72" s="2">
        <f>+IF($D72&lt;&gt;"",BA$6*$P72/$T$4*VLOOKUP($M72,CÁRNICOS!$CD$13:$CJ$48,6,FALSE),BA$5*$P72/$T$4*$BA$1)</f>
        <v>0</v>
      </c>
      <c r="BB72" s="2">
        <f>+IF($D72&lt;&gt;"",BB$6*$Q72/$T$4*VLOOKUP($M72,CÁRNICOS!$CD$13:$CJ$48,6,FALSE),BB$5*$Q72/$T$4*$BA$1)</f>
        <v>0</v>
      </c>
      <c r="BC72" s="2">
        <f>+IF($D72&lt;&gt;"",BC$6*$R72/$T$4*VLOOKUP($M72,CÁRNICOS!$CD$13:$CJ$48,6,FALSE),BC$5*$R72/$T$4*$BA$1)</f>
        <v>0</v>
      </c>
      <c r="BD72" s="2">
        <f>+IF($D72&lt;&gt;"",BD$6*$S72/$T$4*VLOOKUP($M72,CÁRNICOS!$CD$13:$CJ$48,6,FALSE),BD$5*$S72/$T$4*$BA$1)</f>
        <v>0</v>
      </c>
      <c r="BE72" s="2">
        <f>+IF($D72&lt;&gt;"",BE$6*$T72/$T$4*VLOOKUP($M72,CÁRNICOS!$CD$13:$CJ$48,6,FALSE),BE$5*$T72/$T$4*$BA$1)</f>
        <v>0</v>
      </c>
      <c r="BF72" s="120">
        <f t="shared" ref="BF72:BF73" si="49">IF($I72&lt;&gt;"",0,SUM(BA72:BE72))</f>
        <v>0</v>
      </c>
      <c r="BG72" s="149">
        <f t="shared" ref="BG72:BG73" si="50">+ROUNDUP(BF72/BG$4,0)</f>
        <v>0</v>
      </c>
      <c r="BH72" s="120">
        <f t="shared" ref="BH72:BH73" si="51">+IF(BF72*BG72=0,0,(ROUNDUP(BF72/BG72,3)))</f>
        <v>0</v>
      </c>
      <c r="BI72" s="2">
        <f>+IF($D72&lt;&gt;"",BI$6*$P72/$T$4*VLOOKUP($M72,CÁRNICOS!$CD$13:$CJ$48,7,FALSE),BI$5*$P72/$T$4*$BI$1)</f>
        <v>0</v>
      </c>
      <c r="BJ72" s="2">
        <f>+IF($D72&lt;&gt;"",BJ$6*$Q72/$T$4*VLOOKUP($M72,CÁRNICOS!$CD$13:$CJ$48,7,FALSE),BJ$5*$Q72/$T$4*$BI$1)</f>
        <v>0</v>
      </c>
      <c r="BK72" s="2">
        <f>+IF($D72&lt;&gt;"",BK$6*$R72/$T$4*VLOOKUP($M72,CÁRNICOS!$CD$13:$CJ$48,7,FALSE),BK$5*$R72/$T$4*$BI$1)</f>
        <v>0</v>
      </c>
      <c r="BL72" s="2">
        <f>+IF($D72&lt;&gt;"",BL$6*$S72/$T$4*VLOOKUP($M72,CÁRNICOS!$CD$13:$CJ$48,7,FALSE),BL$5*$S72/$T$4*$BI$1)</f>
        <v>0</v>
      </c>
      <c r="BM72" s="2">
        <f>+IF($D72&lt;&gt;"",BM$6*$T72/$T$4*VLOOKUP($M72,CÁRNICOS!$CD$13:$CJ$48,7,FALSE),BM$5*$T72/$T$4*$BI$1)</f>
        <v>0</v>
      </c>
      <c r="BN72" s="120">
        <f t="shared" ref="BN72:BN73" si="52">IF($J72&lt;&gt;"",0,SUM(BI72:BM72))</f>
        <v>0</v>
      </c>
      <c r="BO72" s="149">
        <f t="shared" si="16"/>
        <v>0</v>
      </c>
      <c r="BP72" s="120">
        <f t="shared" si="17"/>
        <v>0</v>
      </c>
      <c r="BR72" s="74">
        <f t="shared" si="6"/>
        <v>1</v>
      </c>
      <c r="BS72" s="74" t="str">
        <f t="shared" si="7"/>
        <v>VITERBO</v>
      </c>
      <c r="BT72" s="74" t="str">
        <f t="shared" si="8"/>
        <v>INSTITUCION EDUCATIVA NAZARIO RESTREPO</v>
      </c>
      <c r="BU72" s="74" t="str">
        <f t="shared" si="9"/>
        <v>CONCENTRACIÓN MARCO FIDEL SUAREZ</v>
      </c>
      <c r="BV72" s="74">
        <f t="shared" si="10"/>
        <v>0</v>
      </c>
      <c r="BW72" s="74">
        <f t="shared" si="11"/>
        <v>0</v>
      </c>
      <c r="BX72" s="74">
        <f t="shared" si="12"/>
        <v>0</v>
      </c>
      <c r="BY72" s="74">
        <f t="shared" si="13"/>
        <v>1.458</v>
      </c>
      <c r="BZ72" s="74">
        <f t="shared" si="14"/>
        <v>0</v>
      </c>
      <c r="CA72" s="74">
        <f t="shared" si="15"/>
        <v>0</v>
      </c>
    </row>
    <row r="73" spans="1:88" ht="29.95" customHeight="1" x14ac:dyDescent="0.3">
      <c r="B73" s="46">
        <f>+B72+1</f>
        <v>3</v>
      </c>
      <c r="C73" s="14">
        <f>SUM(P73:T73)</f>
        <v>30</v>
      </c>
      <c r="D73" s="22" t="s">
        <v>73</v>
      </c>
      <c r="E73" s="124"/>
      <c r="F73" s="60"/>
      <c r="G73" s="60"/>
      <c r="H73" s="60"/>
      <c r="I73" s="60"/>
      <c r="J73" s="60"/>
      <c r="K73" s="59"/>
      <c r="L73" s="122">
        <v>1</v>
      </c>
      <c r="M73" s="162" t="s">
        <v>36</v>
      </c>
      <c r="N73" s="162" t="s">
        <v>271</v>
      </c>
      <c r="O73" s="163" t="s">
        <v>273</v>
      </c>
      <c r="P73" s="74">
        <v>0</v>
      </c>
      <c r="Q73" s="74">
        <v>30</v>
      </c>
      <c r="R73" s="139">
        <v>0</v>
      </c>
      <c r="S73" s="74">
        <v>0</v>
      </c>
      <c r="T73" s="74">
        <v>0</v>
      </c>
      <c r="U73" s="2">
        <f>+IF($D73&lt;&gt;"",U$6*$P73/$T$4*VLOOKUP($M73,CÁRNICOS!$CD$13:$CJ$48,2,FALSE),U$5*$P73/$T$4*$U$1)</f>
        <v>0</v>
      </c>
      <c r="V73" s="2">
        <f>+IF($D73&lt;&gt;"",V$6*$Q73/$T$4*VLOOKUP($M73,CÁRNICOS!$CD$13:$CJ$48,2,FALSE),V$5*$Q73/$T$4*$U$1)</f>
        <v>0</v>
      </c>
      <c r="W73" s="2">
        <f>+IF($D73&lt;&gt;"",W$6*$R73/$T$4*VLOOKUP($M73,CÁRNICOS!$CD$13:$CJ$48,2,FALSE),W$5*$R73/$T$4*$U$1)</f>
        <v>0</v>
      </c>
      <c r="X73" s="2">
        <f>+IF($D73&lt;&gt;"",X$6*$S73/$T$4*VLOOKUP($M73,CÁRNICOS!$CD$13:$CJ$48,2,FALSE),X$5*$S73/$T$4*$U$1)</f>
        <v>0</v>
      </c>
      <c r="Y73" s="2">
        <f>+IF($D73&lt;&gt;"",Y$6*$T73/$T$4*VLOOKUP($M73,CÁRNICOS!$CD$13:$CJ$48,2,FALSE),Y$5*$T73/$T$4*$U$1)</f>
        <v>0</v>
      </c>
      <c r="Z73" s="146">
        <f>IF($E73&lt;&gt;"",0,SUM(U73:Y73))</f>
        <v>0</v>
      </c>
      <c r="AA73" s="149">
        <f>+ROUNDUP(Z73/AA$4,0)</f>
        <v>0</v>
      </c>
      <c r="AB73" s="120">
        <f>+IF(Z73*AA73=0,0,(ROUNDUP(Z73/AA73,3)))</f>
        <v>0</v>
      </c>
      <c r="AC73" s="147">
        <f>+IF($D73&lt;&gt;"",AC$6*$P73/$T$4*VLOOKUP($M73,CÁRNICOS!$CD$13:$CJ$48,3,FALSE),AC$5*$P73/$T$4*$AC$1)</f>
        <v>0</v>
      </c>
      <c r="AD73" s="147">
        <f>+IF($D73&lt;&gt;"",AD$6*$Q73/$T$4*VLOOKUP($M73,CÁRNICOS!$CD$13:$CJ$48,3,FALSE),AD$5*$Q73/$T$4*$AC$1)</f>
        <v>0</v>
      </c>
      <c r="AE73" s="2">
        <f>+IF($D73&lt;&gt;"",AE$6*$R73/$T$4*VLOOKUP($M73,CÁRNICOS!$CD$13:$CJ$48,3,FALSE),AE$5*$R73/$T$4*$AC$1)</f>
        <v>0</v>
      </c>
      <c r="AF73" s="2">
        <f>+IF($D73&lt;&gt;"",AF$6*$S73/$T$4*VLOOKUP($M73,CÁRNICOS!$CD$13:$CJ$48,3,FALSE),AF$5*$S73/$T$4*$AC$1)</f>
        <v>0</v>
      </c>
      <c r="AG73" s="2">
        <f>+IF($D73&lt;&gt;"",AG$6*$T73/$T$4*VLOOKUP($M73,CÁRNICOS!$CD$13:$CJ$48,3,FALSE),AG$5*$T73/$T$4*$AC$1)</f>
        <v>0</v>
      </c>
      <c r="AH73" s="120">
        <f>IF($F73&lt;&gt;"",0,SUM(AC73:AG73))</f>
        <v>0</v>
      </c>
      <c r="AI73" s="149">
        <f>+ROUNDUP(AH73/AI$4,0)</f>
        <v>0</v>
      </c>
      <c r="AJ73" s="120">
        <f>+IF(AH73*AI73=0,0,(ROUNDUP(AH73/AI73,3)))</f>
        <v>0</v>
      </c>
      <c r="AK73" s="2">
        <f>+IF($D73&lt;&gt;"",AK$6*$P73/$T$4*VLOOKUP($M73,CÁRNICOS!$CD$13:$CJ$48,4,FALSE),AK$5*$P73/$T$4*$AK$1)</f>
        <v>0</v>
      </c>
      <c r="AL73" s="2">
        <f>+IF($D73&lt;&gt;"",AL$6*$Q73/$T$4*VLOOKUP($M73,CÁRNICOS!$CD$13:$CJ$48,4,FALSE),AL$5*$Q73/$T$4*$AK$1)</f>
        <v>0</v>
      </c>
      <c r="AM73" s="2">
        <f>+IF($D73&lt;&gt;"",AM$6*$R73/$T$4*VLOOKUP($M73,CÁRNICOS!$CD$13:$CJ$48,4,FALSE),AM$5*$R73/$T$4*$AK$1)</f>
        <v>0</v>
      </c>
      <c r="AN73" s="2">
        <f>+IF($D73&lt;&gt;"",AN$6*$S73/$T$4*VLOOKUP($M73,CÁRNICOS!$CD$13:$CJ$48,4,FALSE),AN$5*$S73/$T$4*$AK$1)</f>
        <v>0</v>
      </c>
      <c r="AO73" s="2">
        <f>+IF($D73&lt;&gt;"",AO$6*$T73/$T$4*VLOOKUP($M73,CÁRNICOS!$CD$13:$CJ$48,4,FALSE),AO$5*$T73/$T$4*$AK$1)</f>
        <v>0</v>
      </c>
      <c r="AP73" s="120">
        <f>IF($G73&lt;&gt;"",0,SUM(AK73:AO73))</f>
        <v>0</v>
      </c>
      <c r="AQ73" s="149">
        <f>+ROUNDUP(AP73/AQ$4,0)</f>
        <v>0</v>
      </c>
      <c r="AR73" s="120">
        <f>+IF(AP73*AQ73=0,0,(ROUNDUP(AP73/AQ73,3)))</f>
        <v>0</v>
      </c>
      <c r="AS73" s="2">
        <f>+IF($D73&lt;&gt;"",AS$6*$P73/$T$4*VLOOKUP($M73,CÁRNICOS!$CD$13:$CJ$48,5,FALSE),AS$5*$P73/$T$4*$AS$1)</f>
        <v>0</v>
      </c>
      <c r="AT73" s="2">
        <f>+IF($D73&lt;&gt;"",AT$6*$Q73/$T$4*VLOOKUP($M73,CÁRNICOS!$CD$13:$CJ$48,5,FALSE),AT$5*$Q73/$T$4*$AS$1)</f>
        <v>1.62</v>
      </c>
      <c r="AU73" s="2">
        <f>+IF($D73&lt;&gt;"",AU$6*$R73/$T$4*VLOOKUP($M73,CÁRNICOS!$CD$13:$CJ$48,5,FALSE),AU$5*$R73/$T$4*$AS$1)</f>
        <v>0</v>
      </c>
      <c r="AV73" s="2">
        <f>+IF($D73&lt;&gt;"",AV$6*$S73/$T$4*VLOOKUP($M73,CÁRNICOS!$CD$13:$CJ$48,5,FALSE),AV$5*$S73/$T$4*$AS$1)</f>
        <v>0</v>
      </c>
      <c r="AW73" s="2">
        <f>+IF($D73&lt;&gt;"",AW$6*$T73/$T$4*VLOOKUP($M73,CÁRNICOS!$CD$13:$CJ$48,5,FALSE),AW$5*$T73/$T$4*$AS$1)</f>
        <v>0</v>
      </c>
      <c r="AX73" s="120">
        <f>IF($H73&lt;&gt;"",0,SUM(AS73:AW73))</f>
        <v>1.62</v>
      </c>
      <c r="AY73" s="149">
        <f>+ROUNDUP(AX73/AY$4,0)</f>
        <v>1</v>
      </c>
      <c r="AZ73" s="120">
        <f>+IF(AX73*AY73=0,0,(ROUNDUP(AX73/AY73,3)))</f>
        <v>1.62</v>
      </c>
      <c r="BA73" s="2">
        <f>+IF($D73&lt;&gt;"",BA$6*$P73/$T$4*VLOOKUP($M73,CÁRNICOS!$CD$13:$CJ$48,6,FALSE),BA$5*$P73/$T$4*$BA$1)</f>
        <v>0</v>
      </c>
      <c r="BB73" s="2">
        <f>+IF($D73&lt;&gt;"",BB$6*$Q73/$T$4*VLOOKUP($M73,CÁRNICOS!$CD$13:$CJ$48,6,FALSE),BB$5*$Q73/$T$4*$BA$1)</f>
        <v>0</v>
      </c>
      <c r="BC73" s="2">
        <f>+IF($D73&lt;&gt;"",BC$6*$R73/$T$4*VLOOKUP($M73,CÁRNICOS!$CD$13:$CJ$48,6,FALSE),BC$5*$R73/$T$4*$BA$1)</f>
        <v>0</v>
      </c>
      <c r="BD73" s="2">
        <f>+IF($D73&lt;&gt;"",BD$6*$S73/$T$4*VLOOKUP($M73,CÁRNICOS!$CD$13:$CJ$48,6,FALSE),BD$5*$S73/$T$4*$BA$1)</f>
        <v>0</v>
      </c>
      <c r="BE73" s="2">
        <f>+IF($D73&lt;&gt;"",BE$6*$T73/$T$4*VLOOKUP($M73,CÁRNICOS!$CD$13:$CJ$48,6,FALSE),BE$5*$T73/$T$4*$BA$1)</f>
        <v>0</v>
      </c>
      <c r="BF73" s="120">
        <f t="shared" si="49"/>
        <v>0</v>
      </c>
      <c r="BG73" s="149">
        <f t="shared" si="50"/>
        <v>0</v>
      </c>
      <c r="BH73" s="120">
        <f t="shared" si="51"/>
        <v>0</v>
      </c>
      <c r="BI73" s="2">
        <f>+IF($D73&lt;&gt;"",BI$6*$P73/$T$4*VLOOKUP($M73,CÁRNICOS!$CD$13:$CJ$48,7,FALSE),BI$5*$P73/$T$4*$BI$1)</f>
        <v>0</v>
      </c>
      <c r="BJ73" s="2">
        <f>+IF($D73&lt;&gt;"",BJ$6*$Q73/$T$4*VLOOKUP($M73,CÁRNICOS!$CD$13:$CJ$48,7,FALSE),BJ$5*$Q73/$T$4*$BI$1)</f>
        <v>0</v>
      </c>
      <c r="BK73" s="2">
        <f>+IF($D73&lt;&gt;"",BK$6*$R73/$T$4*VLOOKUP($M73,CÁRNICOS!$CD$13:$CJ$48,7,FALSE),BK$5*$R73/$T$4*$BI$1)</f>
        <v>0</v>
      </c>
      <c r="BL73" s="2">
        <f>+IF($D73&lt;&gt;"",BL$6*$S73/$T$4*VLOOKUP($M73,CÁRNICOS!$CD$13:$CJ$48,7,FALSE),BL$5*$S73/$T$4*$BI$1)</f>
        <v>0</v>
      </c>
      <c r="BM73" s="2">
        <f>+IF($D73&lt;&gt;"",BM$6*$T73/$T$4*VLOOKUP($M73,CÁRNICOS!$CD$13:$CJ$48,7,FALSE),BM$5*$T73/$T$4*$BI$1)</f>
        <v>0</v>
      </c>
      <c r="BN73" s="120">
        <f t="shared" si="52"/>
        <v>0</v>
      </c>
      <c r="BO73" s="149">
        <f t="shared" si="16"/>
        <v>0</v>
      </c>
      <c r="BP73" s="120">
        <f t="shared" si="17"/>
        <v>0</v>
      </c>
      <c r="BR73" s="74">
        <f t="shared" si="6"/>
        <v>1</v>
      </c>
      <c r="BS73" s="74" t="str">
        <f t="shared" si="7"/>
        <v>VITERBO</v>
      </c>
      <c r="BT73" s="74" t="str">
        <f t="shared" si="8"/>
        <v>INSTITUCION EDUCATIVA NAZARIO RESTREPO</v>
      </c>
      <c r="BU73" s="74" t="str">
        <f t="shared" si="9"/>
        <v>ESCUELA ANTONIO NARIÑO</v>
      </c>
      <c r="BV73" s="74">
        <f t="shared" si="10"/>
        <v>0</v>
      </c>
      <c r="BW73" s="74">
        <f t="shared" si="11"/>
        <v>0</v>
      </c>
      <c r="BX73" s="74">
        <f t="shared" si="12"/>
        <v>0</v>
      </c>
      <c r="BY73" s="74">
        <f t="shared" si="13"/>
        <v>1.62</v>
      </c>
      <c r="BZ73" s="74">
        <f t="shared" si="14"/>
        <v>0</v>
      </c>
      <c r="CA73" s="74">
        <f t="shared" si="15"/>
        <v>0</v>
      </c>
    </row>
    <row r="74" spans="1:88" ht="29.95" customHeight="1" x14ac:dyDescent="0.3">
      <c r="B74" s="46">
        <f t="shared" ref="B74:B77" si="53">+B73+1</f>
        <v>4</v>
      </c>
      <c r="C74" s="14">
        <f t="shared" ref="C74:C75" si="54">SUM(P74:T74)</f>
        <v>0</v>
      </c>
      <c r="D74" s="22" t="s">
        <v>73</v>
      </c>
      <c r="E74" s="124"/>
      <c r="F74" s="60"/>
      <c r="G74" s="60"/>
      <c r="H74" s="60"/>
      <c r="I74" s="60"/>
      <c r="J74" s="60"/>
      <c r="K74" s="59"/>
      <c r="L74" s="122"/>
      <c r="M74" s="162"/>
      <c r="N74" s="162"/>
      <c r="O74" s="163"/>
      <c r="P74" s="74"/>
      <c r="Q74" s="74"/>
      <c r="R74" s="139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R74" s="74">
        <f t="shared" si="6"/>
        <v>0</v>
      </c>
      <c r="BS74" s="74">
        <f t="shared" si="7"/>
        <v>0</v>
      </c>
      <c r="BT74" s="74">
        <f t="shared" si="8"/>
        <v>0</v>
      </c>
      <c r="BU74" s="74">
        <f t="shared" si="9"/>
        <v>0</v>
      </c>
      <c r="BV74" s="74">
        <f t="shared" si="10"/>
        <v>0</v>
      </c>
      <c r="BW74" s="74">
        <f t="shared" si="11"/>
        <v>0</v>
      </c>
      <c r="BX74" s="74">
        <f t="shared" si="12"/>
        <v>0</v>
      </c>
      <c r="BY74" s="74">
        <f t="shared" si="13"/>
        <v>0</v>
      </c>
      <c r="BZ74" s="74">
        <f t="shared" si="14"/>
        <v>0</v>
      </c>
      <c r="CA74" s="74">
        <f t="shared" si="15"/>
        <v>0</v>
      </c>
    </row>
    <row r="75" spans="1:88" ht="29.95" customHeight="1" x14ac:dyDescent="0.3">
      <c r="B75" s="46">
        <f t="shared" si="53"/>
        <v>5</v>
      </c>
      <c r="C75" s="14">
        <f t="shared" si="54"/>
        <v>0</v>
      </c>
      <c r="D75" s="22" t="s">
        <v>73</v>
      </c>
      <c r="E75" s="124"/>
      <c r="F75" s="60"/>
      <c r="G75" s="60"/>
      <c r="H75" s="60"/>
      <c r="I75" s="60"/>
      <c r="J75" s="60"/>
      <c r="K75" s="59"/>
      <c r="L75" s="122"/>
      <c r="M75" s="162"/>
      <c r="N75" s="162"/>
      <c r="O75" s="163"/>
      <c r="P75" s="74"/>
      <c r="Q75" s="74"/>
      <c r="R75" s="139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R75" s="74">
        <f t="shared" si="6"/>
        <v>0</v>
      </c>
      <c r="BS75" s="74">
        <f t="shared" si="7"/>
        <v>0</v>
      </c>
      <c r="BT75" s="74">
        <f t="shared" si="8"/>
        <v>0</v>
      </c>
      <c r="BU75" s="74">
        <f t="shared" si="9"/>
        <v>0</v>
      </c>
      <c r="BV75" s="74">
        <f t="shared" si="10"/>
        <v>0</v>
      </c>
      <c r="BW75" s="74">
        <f t="shared" si="11"/>
        <v>0</v>
      </c>
      <c r="BX75" s="74">
        <f t="shared" si="12"/>
        <v>0</v>
      </c>
      <c r="BY75" s="74">
        <f t="shared" si="13"/>
        <v>0</v>
      </c>
      <c r="BZ75" s="74">
        <f t="shared" si="14"/>
        <v>0</v>
      </c>
      <c r="CA75" s="74">
        <f t="shared" si="15"/>
        <v>0</v>
      </c>
    </row>
    <row r="76" spans="1:88" ht="29.95" customHeight="1" x14ac:dyDescent="0.3">
      <c r="B76" s="46">
        <f t="shared" si="53"/>
        <v>6</v>
      </c>
      <c r="E76" s="124"/>
      <c r="F76" s="60"/>
      <c r="G76" s="60"/>
      <c r="H76" s="60"/>
      <c r="I76" s="60"/>
      <c r="J76" s="60"/>
      <c r="K76" s="59"/>
      <c r="L76" s="118" t="s">
        <v>134</v>
      </c>
      <c r="M76" s="119"/>
      <c r="N76" s="119"/>
      <c r="O76" s="119"/>
      <c r="P76" s="122"/>
      <c r="Q76" s="122"/>
      <c r="R76" s="122"/>
      <c r="S76" s="122"/>
      <c r="T76" s="122"/>
      <c r="U76" s="2"/>
      <c r="V76" s="2"/>
      <c r="W76" s="2"/>
      <c r="X76" s="2"/>
      <c r="Y76" s="2"/>
      <c r="Z76" s="146"/>
      <c r="AA76" s="150"/>
      <c r="AB76" s="120"/>
      <c r="AC76" s="147"/>
      <c r="AD76" s="147"/>
      <c r="AE76" s="2"/>
      <c r="AF76" s="2"/>
      <c r="AG76" s="2"/>
      <c r="AH76" s="120"/>
      <c r="AI76" s="150"/>
      <c r="AJ76" s="120"/>
      <c r="AK76" s="2"/>
      <c r="AL76" s="2"/>
      <c r="AM76" s="2"/>
      <c r="AN76" s="2"/>
      <c r="AO76" s="2"/>
      <c r="AP76" s="120"/>
      <c r="AQ76" s="150"/>
      <c r="AR76" s="120"/>
      <c r="AS76" s="2"/>
      <c r="AT76" s="2"/>
      <c r="AU76" s="2"/>
      <c r="AV76" s="2"/>
      <c r="AW76" s="2"/>
      <c r="AX76" s="120"/>
      <c r="AY76" s="15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R76" s="74" t="str">
        <f t="shared" ref="BR76:BR77" si="55">+L76</f>
        <v/>
      </c>
      <c r="BS76" s="74">
        <f t="shared" ref="BS76:BS77" si="56">+M76</f>
        <v>0</v>
      </c>
      <c r="BT76" s="74">
        <f t="shared" ref="BT76:BT77" si="57">+N76</f>
        <v>0</v>
      </c>
      <c r="BU76" s="74">
        <f t="shared" ref="BU76:BU77" si="58">+O76</f>
        <v>0</v>
      </c>
      <c r="BV76" s="74">
        <f t="shared" ref="BV76:BV77" si="59">+Z76</f>
        <v>0</v>
      </c>
      <c r="BW76" s="74">
        <f t="shared" ref="BW76:BW77" si="60">+AH76</f>
        <v>0</v>
      </c>
      <c r="BX76" s="74">
        <f t="shared" ref="BX76:BX77" si="61">+AP76</f>
        <v>0</v>
      </c>
      <c r="BY76" s="74">
        <f t="shared" ref="BY76:BY77" si="62">+AX76</f>
        <v>0</v>
      </c>
      <c r="BZ76" s="74">
        <f t="shared" ref="BZ76:BZ77" si="63">+BF76</f>
        <v>0</v>
      </c>
      <c r="CA76" s="74">
        <f t="shared" ref="CA76:CA77" si="64">+BN76</f>
        <v>0</v>
      </c>
    </row>
    <row r="77" spans="1:88" ht="29.95" customHeight="1" thickBot="1" x14ac:dyDescent="0.35">
      <c r="B77" s="46">
        <f t="shared" si="53"/>
        <v>7</v>
      </c>
      <c r="E77" s="124"/>
      <c r="F77" s="60"/>
      <c r="G77" s="60"/>
      <c r="H77" s="60"/>
      <c r="I77" s="60"/>
      <c r="J77" s="60"/>
      <c r="K77" s="59"/>
      <c r="L77" s="118" t="s">
        <v>134</v>
      </c>
      <c r="M77" s="119"/>
      <c r="N77" s="119"/>
      <c r="O77" s="119"/>
      <c r="P77" s="122"/>
      <c r="Q77" s="122"/>
      <c r="R77" s="122"/>
      <c r="S77" s="122"/>
      <c r="T77" s="122"/>
      <c r="U77" s="2"/>
      <c r="V77" s="2"/>
      <c r="W77" s="2"/>
      <c r="X77" s="2"/>
      <c r="Y77" s="2"/>
      <c r="Z77" s="146"/>
      <c r="AA77" s="151"/>
      <c r="AB77" s="152"/>
      <c r="AC77" s="147"/>
      <c r="AD77" s="147"/>
      <c r="AE77" s="2"/>
      <c r="AF77" s="2"/>
      <c r="AG77" s="2"/>
      <c r="AH77" s="120"/>
      <c r="AI77" s="151"/>
      <c r="AJ77" s="152"/>
      <c r="AK77" s="2"/>
      <c r="AL77" s="2"/>
      <c r="AM77" s="2"/>
      <c r="AN77" s="2"/>
      <c r="AO77" s="2"/>
      <c r="AP77" s="120"/>
      <c r="AQ77" s="151"/>
      <c r="AR77" s="152"/>
      <c r="AS77" s="2"/>
      <c r="AT77" s="2"/>
      <c r="AU77" s="2"/>
      <c r="AV77" s="2"/>
      <c r="AW77" s="2"/>
      <c r="AX77" s="120"/>
      <c r="AY77" s="151"/>
      <c r="AZ77" s="152"/>
      <c r="BA77" s="2"/>
      <c r="BB77" s="2"/>
      <c r="BC77" s="2"/>
      <c r="BD77" s="2"/>
      <c r="BE77" s="2"/>
      <c r="BF77" s="120"/>
      <c r="BG77" s="151"/>
      <c r="BH77" s="152"/>
      <c r="BI77" s="2"/>
      <c r="BJ77" s="2"/>
      <c r="BK77" s="2"/>
      <c r="BL77" s="2"/>
      <c r="BM77" s="2"/>
      <c r="BN77" s="120"/>
      <c r="BO77" s="151"/>
      <c r="BP77" s="152"/>
      <c r="BR77" s="74" t="str">
        <f t="shared" si="55"/>
        <v/>
      </c>
      <c r="BS77" s="74">
        <f t="shared" si="56"/>
        <v>0</v>
      </c>
      <c r="BT77" s="74">
        <f t="shared" si="57"/>
        <v>0</v>
      </c>
      <c r="BU77" s="74">
        <f t="shared" si="58"/>
        <v>0</v>
      </c>
      <c r="BV77" s="74">
        <f t="shared" si="59"/>
        <v>0</v>
      </c>
      <c r="BW77" s="74">
        <f t="shared" si="60"/>
        <v>0</v>
      </c>
      <c r="BX77" s="74">
        <f t="shared" si="61"/>
        <v>0</v>
      </c>
      <c r="BY77" s="74">
        <f t="shared" si="62"/>
        <v>0</v>
      </c>
      <c r="BZ77" s="74">
        <f t="shared" si="63"/>
        <v>0</v>
      </c>
      <c r="CA77" s="74">
        <f t="shared" si="64"/>
        <v>0</v>
      </c>
    </row>
    <row r="78" spans="1:88" ht="29.95" customHeight="1" x14ac:dyDescent="0.3">
      <c r="B78" s="46">
        <f>+COUNTIF($M$8:M78,M78)</f>
        <v>1</v>
      </c>
      <c r="E78" s="124"/>
      <c r="F78" s="60"/>
      <c r="G78" s="60"/>
      <c r="H78" s="60"/>
      <c r="I78" s="60"/>
      <c r="J78" s="60"/>
      <c r="K78" s="59"/>
      <c r="M78" s="64" t="s">
        <v>28</v>
      </c>
      <c r="P78" s="123">
        <f t="shared" ref="P78:AU78" si="65">SUM(P8:P77)</f>
        <v>577</v>
      </c>
      <c r="Q78" s="123">
        <f t="shared" si="65"/>
        <v>2835</v>
      </c>
      <c r="R78" s="123">
        <f t="shared" si="65"/>
        <v>250</v>
      </c>
      <c r="S78" s="123">
        <f t="shared" si="65"/>
        <v>580</v>
      </c>
      <c r="T78" s="123">
        <f t="shared" si="65"/>
        <v>218</v>
      </c>
      <c r="U78" s="123">
        <f t="shared" si="65"/>
        <v>0</v>
      </c>
      <c r="V78" s="123">
        <f t="shared" si="65"/>
        <v>0</v>
      </c>
      <c r="W78" s="123">
        <f t="shared" si="65"/>
        <v>0</v>
      </c>
      <c r="X78" s="123">
        <f t="shared" si="65"/>
        <v>0</v>
      </c>
      <c r="Y78" s="123">
        <f t="shared" si="65"/>
        <v>0</v>
      </c>
      <c r="Z78" s="123">
        <f t="shared" si="65"/>
        <v>0</v>
      </c>
      <c r="AA78" s="123">
        <f t="shared" si="65"/>
        <v>0</v>
      </c>
      <c r="AB78" s="123">
        <f t="shared" si="65"/>
        <v>0</v>
      </c>
      <c r="AC78" s="123">
        <f t="shared" si="65"/>
        <v>0</v>
      </c>
      <c r="AD78" s="123">
        <f t="shared" si="65"/>
        <v>0</v>
      </c>
      <c r="AE78" s="123">
        <f t="shared" si="65"/>
        <v>0</v>
      </c>
      <c r="AF78" s="123">
        <f t="shared" si="65"/>
        <v>0</v>
      </c>
      <c r="AG78" s="123">
        <f t="shared" si="65"/>
        <v>0</v>
      </c>
      <c r="AH78" s="123">
        <f t="shared" si="65"/>
        <v>0</v>
      </c>
      <c r="AI78" s="123">
        <f t="shared" si="65"/>
        <v>0</v>
      </c>
      <c r="AJ78" s="123">
        <f t="shared" si="65"/>
        <v>0</v>
      </c>
      <c r="AK78" s="123">
        <f t="shared" si="65"/>
        <v>0</v>
      </c>
      <c r="AL78" s="123">
        <f t="shared" si="65"/>
        <v>0</v>
      </c>
      <c r="AM78" s="123">
        <f t="shared" si="65"/>
        <v>0</v>
      </c>
      <c r="AN78" s="123">
        <f t="shared" si="65"/>
        <v>0</v>
      </c>
      <c r="AO78" s="123">
        <f t="shared" si="65"/>
        <v>0</v>
      </c>
      <c r="AP78" s="123">
        <f t="shared" si="65"/>
        <v>0</v>
      </c>
      <c r="AQ78" s="123">
        <f t="shared" si="65"/>
        <v>0</v>
      </c>
      <c r="AR78" s="123">
        <f t="shared" si="65"/>
        <v>0</v>
      </c>
      <c r="AS78" s="123">
        <f t="shared" si="65"/>
        <v>31.158000000000001</v>
      </c>
      <c r="AT78" s="123">
        <f t="shared" si="65"/>
        <v>153.09</v>
      </c>
      <c r="AU78" s="123">
        <f t="shared" si="65"/>
        <v>16.25</v>
      </c>
      <c r="AV78" s="123">
        <f t="shared" ref="AV78:BP78" si="66">SUM(AV8:AV77)</f>
        <v>46.4</v>
      </c>
      <c r="AW78" s="123">
        <f t="shared" si="66"/>
        <v>21.8</v>
      </c>
      <c r="AX78" s="123">
        <f t="shared" si="66"/>
        <v>268.69800000000004</v>
      </c>
      <c r="AY78" s="123">
        <f t="shared" si="66"/>
        <v>71</v>
      </c>
      <c r="AZ78" s="123">
        <f t="shared" si="66"/>
        <v>233.85100000000003</v>
      </c>
      <c r="BA78" s="123">
        <f t="shared" si="66"/>
        <v>0</v>
      </c>
      <c r="BB78" s="123">
        <f t="shared" si="66"/>
        <v>0</v>
      </c>
      <c r="BC78" s="123">
        <f t="shared" si="66"/>
        <v>0</v>
      </c>
      <c r="BD78" s="123">
        <f t="shared" si="66"/>
        <v>0</v>
      </c>
      <c r="BE78" s="123">
        <f t="shared" si="66"/>
        <v>0</v>
      </c>
      <c r="BF78" s="123">
        <f t="shared" si="66"/>
        <v>0</v>
      </c>
      <c r="BG78" s="123">
        <f t="shared" si="66"/>
        <v>0</v>
      </c>
      <c r="BH78" s="123">
        <f t="shared" si="66"/>
        <v>0</v>
      </c>
      <c r="BI78" s="123">
        <f t="shared" si="66"/>
        <v>0</v>
      </c>
      <c r="BJ78" s="123">
        <f t="shared" si="66"/>
        <v>0</v>
      </c>
      <c r="BK78" s="123">
        <f t="shared" si="66"/>
        <v>0</v>
      </c>
      <c r="BL78" s="123">
        <f t="shared" si="66"/>
        <v>0</v>
      </c>
      <c r="BM78" s="123">
        <f t="shared" si="66"/>
        <v>0</v>
      </c>
      <c r="BN78" s="123">
        <f t="shared" si="66"/>
        <v>0</v>
      </c>
      <c r="BO78" s="123">
        <f t="shared" si="66"/>
        <v>0</v>
      </c>
      <c r="BP78" s="123">
        <f t="shared" si="66"/>
        <v>0</v>
      </c>
    </row>
    <row r="79" spans="1:88" ht="20.149999999999999" customHeight="1" x14ac:dyDescent="0.3">
      <c r="B79" s="46">
        <f>+COUNTIF($M$8:M79,M79)</f>
        <v>0</v>
      </c>
      <c r="E79" s="124"/>
      <c r="F79" s="60"/>
      <c r="G79" s="60"/>
      <c r="H79" s="60"/>
      <c r="I79" s="60"/>
      <c r="J79" s="60"/>
      <c r="K79" s="59"/>
      <c r="L79" s="6"/>
    </row>
    <row r="80" spans="1:88" ht="20.149999999999999" customHeight="1" x14ac:dyDescent="0.3">
      <c r="B80" s="46">
        <f>+COUNTIF($M$8:M80,M80)</f>
        <v>0</v>
      </c>
      <c r="E80" s="124"/>
      <c r="F80" s="60"/>
      <c r="G80" s="60"/>
      <c r="H80" s="60"/>
      <c r="I80" s="60"/>
      <c r="J80" s="60"/>
      <c r="K80" s="59"/>
      <c r="L80" s="6"/>
    </row>
    <row r="81" spans="2:84" ht="20.149999999999999" customHeight="1" x14ac:dyDescent="0.3">
      <c r="B81" s="46">
        <f>+COUNTIF($M$8:M81,M81)</f>
        <v>0</v>
      </c>
      <c r="E81" s="124"/>
      <c r="F81" s="60"/>
      <c r="G81" s="60"/>
      <c r="H81" s="60"/>
      <c r="I81" s="60"/>
      <c r="J81" s="60"/>
      <c r="K81" s="59"/>
      <c r="L81" s="6"/>
    </row>
    <row r="82" spans="2:84" ht="20.149999999999999" customHeight="1" x14ac:dyDescent="0.3">
      <c r="B82" s="46">
        <f>+COUNTIF($M$8:M82,M82)</f>
        <v>0</v>
      </c>
      <c r="E82" s="124"/>
      <c r="F82" s="60"/>
      <c r="G82" s="60"/>
      <c r="H82" s="60"/>
      <c r="I82" s="60"/>
      <c r="J82" s="60"/>
      <c r="K82" s="59"/>
      <c r="L82" s="6"/>
    </row>
    <row r="83" spans="2:84" ht="20.149999999999999" customHeight="1" x14ac:dyDescent="0.3">
      <c r="E83" s="124"/>
      <c r="F83" s="60"/>
      <c r="G83" s="60"/>
      <c r="H83" s="60"/>
      <c r="I83" s="60"/>
      <c r="J83" s="60"/>
      <c r="K83" s="59"/>
      <c r="O83" s="70"/>
      <c r="P83" s="175" t="s">
        <v>30</v>
      </c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6"/>
      <c r="AY83" s="176"/>
      <c r="AZ83" s="176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45"/>
      <c r="BP83" s="145"/>
      <c r="BR83" s="182" t="s">
        <v>161</v>
      </c>
      <c r="BS83" s="181"/>
      <c r="BT83" s="183"/>
      <c r="BY83" s="182" t="s">
        <v>162</v>
      </c>
      <c r="BZ83" s="181"/>
      <c r="CA83" s="183"/>
      <c r="CC83" s="58"/>
    </row>
    <row r="84" spans="2:84" ht="25.2" customHeight="1" x14ac:dyDescent="0.25">
      <c r="E84" s="124"/>
      <c r="F84" s="60"/>
      <c r="G84" s="60"/>
      <c r="H84" s="60"/>
      <c r="I84" s="60"/>
      <c r="J84" s="60"/>
      <c r="K84" s="59"/>
      <c r="L84" s="6"/>
      <c r="M84" s="126" t="s">
        <v>167</v>
      </c>
      <c r="N84" s="126" t="s">
        <v>160</v>
      </c>
      <c r="O84" s="126" t="s">
        <v>31</v>
      </c>
      <c r="P84" s="15" t="s">
        <v>46</v>
      </c>
      <c r="Q84" s="15" t="s">
        <v>46</v>
      </c>
      <c r="R84" s="15" t="s">
        <v>47</v>
      </c>
      <c r="S84" s="15" t="s">
        <v>48</v>
      </c>
      <c r="T84" s="15" t="s">
        <v>49</v>
      </c>
      <c r="U84" s="16" t="s">
        <v>55</v>
      </c>
      <c r="V84" s="16" t="s">
        <v>55</v>
      </c>
      <c r="W84" s="15" t="s">
        <v>56</v>
      </c>
      <c r="X84" s="15" t="s">
        <v>57</v>
      </c>
      <c r="Y84" s="15" t="s">
        <v>58</v>
      </c>
      <c r="Z84" s="66" t="str">
        <f>+Z7</f>
        <v>CERDO 1</v>
      </c>
      <c r="AA84" s="66" t="str">
        <f>+AA7</f>
        <v>BOLSAS</v>
      </c>
      <c r="AB84" s="66" t="str">
        <f>+AB7</f>
        <v>PESO</v>
      </c>
      <c r="AC84" s="15" t="s">
        <v>55</v>
      </c>
      <c r="AD84" s="15" t="s">
        <v>55</v>
      </c>
      <c r="AE84" s="15" t="s">
        <v>56</v>
      </c>
      <c r="AF84" s="15" t="s">
        <v>57</v>
      </c>
      <c r="AG84" s="15" t="s">
        <v>58</v>
      </c>
      <c r="AH84" s="66" t="str">
        <f>+AH7</f>
        <v>CERDO 2</v>
      </c>
      <c r="AI84" s="66" t="str">
        <f>+AI7</f>
        <v>BOLSAS</v>
      </c>
      <c r="AJ84" s="66" t="str">
        <f>+AJ7</f>
        <v>PESO</v>
      </c>
      <c r="AK84" s="15" t="s">
        <v>55</v>
      </c>
      <c r="AL84" s="15" t="s">
        <v>55</v>
      </c>
      <c r="AM84" s="15" t="s">
        <v>56</v>
      </c>
      <c r="AN84" s="15" t="s">
        <v>57</v>
      </c>
      <c r="AO84" s="15" t="s">
        <v>58</v>
      </c>
      <c r="AP84" s="66" t="str">
        <f>+AP7</f>
        <v>RES</v>
      </c>
      <c r="AQ84" s="66" t="str">
        <f>+AQ7</f>
        <v>BOLSAS</v>
      </c>
      <c r="AR84" s="66" t="str">
        <f>+AR7</f>
        <v>PESO</v>
      </c>
      <c r="AS84" s="15" t="s">
        <v>55</v>
      </c>
      <c r="AT84" s="15" t="s">
        <v>55</v>
      </c>
      <c r="AU84" s="15" t="s">
        <v>56</v>
      </c>
      <c r="AV84" s="15" t="s">
        <v>57</v>
      </c>
      <c r="AW84" s="15" t="s">
        <v>58</v>
      </c>
      <c r="AX84" s="66" t="str">
        <f>+AX7</f>
        <v>POLLO 1</v>
      </c>
      <c r="AY84" s="66" t="str">
        <f>+AY7</f>
        <v>BOLSAS</v>
      </c>
      <c r="AZ84" s="66" t="str">
        <f>+AZ7</f>
        <v>PESO</v>
      </c>
      <c r="BA84" s="15" t="s">
        <v>55</v>
      </c>
      <c r="BB84" s="15" t="s">
        <v>55</v>
      </c>
      <c r="BC84" s="15" t="s">
        <v>56</v>
      </c>
      <c r="BD84" s="15" t="s">
        <v>57</v>
      </c>
      <c r="BE84" s="15" t="s">
        <v>58</v>
      </c>
      <c r="BF84" s="66" t="str">
        <f>+BF7</f>
        <v>POLLO 2</v>
      </c>
      <c r="BG84" s="66" t="str">
        <f>+BG7</f>
        <v>BOLSAS</v>
      </c>
      <c r="BH84" s="66" t="str">
        <f>+BH7</f>
        <v>PESO</v>
      </c>
      <c r="BI84" s="15" t="s">
        <v>55</v>
      </c>
      <c r="BJ84" s="15" t="s">
        <v>55</v>
      </c>
      <c r="BK84" s="15" t="s">
        <v>56</v>
      </c>
      <c r="BL84" s="15" t="s">
        <v>57</v>
      </c>
      <c r="BM84" s="15" t="s">
        <v>58</v>
      </c>
      <c r="BN84" s="66" t="str">
        <f>+BN7</f>
        <v>POLLO 3</v>
      </c>
      <c r="BO84" s="66" t="str">
        <f>+BO7</f>
        <v>BOLSAS</v>
      </c>
      <c r="BP84" s="66" t="str">
        <f>+BP7</f>
        <v>PESO</v>
      </c>
      <c r="BR84" s="66" t="s">
        <v>157</v>
      </c>
      <c r="BS84" s="66" t="s">
        <v>54</v>
      </c>
      <c r="BT84" s="66" t="s">
        <v>70</v>
      </c>
      <c r="BV84" s="86" t="s">
        <v>27</v>
      </c>
      <c r="BW84" s="86"/>
      <c r="BX84" s="86" t="s">
        <v>139</v>
      </c>
      <c r="BY84" s="66" t="s">
        <v>157</v>
      </c>
      <c r="BZ84" s="66" t="s">
        <v>54</v>
      </c>
      <c r="CA84" s="66" t="s">
        <v>70</v>
      </c>
      <c r="CC84" s="126" t="s">
        <v>167</v>
      </c>
      <c r="CD84" s="182" t="s">
        <v>162</v>
      </c>
      <c r="CE84" s="181"/>
      <c r="CF84" s="183"/>
    </row>
    <row r="85" spans="2:84" ht="25.2" customHeight="1" x14ac:dyDescent="0.3">
      <c r="E85" s="124"/>
      <c r="F85" s="60"/>
      <c r="G85" s="60"/>
      <c r="H85" s="60"/>
      <c r="I85" s="60"/>
      <c r="J85" s="60"/>
      <c r="K85" s="59"/>
      <c r="L85" s="6"/>
      <c r="M85" s="125">
        <v>1</v>
      </c>
      <c r="N85" s="125">
        <v>1</v>
      </c>
      <c r="O85" s="71" t="s">
        <v>23</v>
      </c>
      <c r="P85" s="2">
        <f t="shared" ref="P85:Y94" si="67">+SUMIF($M$8:$M$77,$O85,P$8:P$77)</f>
        <v>174</v>
      </c>
      <c r="Q85" s="2">
        <f t="shared" si="67"/>
        <v>726</v>
      </c>
      <c r="R85" s="2">
        <f t="shared" si="67"/>
        <v>0</v>
      </c>
      <c r="S85" s="2">
        <f t="shared" si="67"/>
        <v>77</v>
      </c>
      <c r="T85" s="2">
        <f t="shared" si="67"/>
        <v>0</v>
      </c>
      <c r="U85" s="2">
        <f t="shared" si="67"/>
        <v>0</v>
      </c>
      <c r="V85" s="2">
        <f t="shared" si="67"/>
        <v>0</v>
      </c>
      <c r="W85" s="2">
        <f t="shared" si="67"/>
        <v>0</v>
      </c>
      <c r="X85" s="2">
        <f t="shared" si="67"/>
        <v>0</v>
      </c>
      <c r="Y85" s="2">
        <f t="shared" si="67"/>
        <v>0</v>
      </c>
      <c r="Z85" s="120">
        <f t="shared" ref="Z85:AI94" si="68">+SUMIF($M$8:$M$77,$O85,Z$8:Z$77)</f>
        <v>0</v>
      </c>
      <c r="AA85" s="120">
        <f t="shared" si="68"/>
        <v>0</v>
      </c>
      <c r="AB85" s="120">
        <f t="shared" si="68"/>
        <v>0</v>
      </c>
      <c r="AC85" s="120">
        <f t="shared" si="68"/>
        <v>0</v>
      </c>
      <c r="AD85" s="120">
        <f t="shared" si="68"/>
        <v>0</v>
      </c>
      <c r="AE85" s="120">
        <f t="shared" si="68"/>
        <v>0</v>
      </c>
      <c r="AF85" s="120">
        <f t="shared" si="68"/>
        <v>0</v>
      </c>
      <c r="AG85" s="120">
        <f t="shared" si="68"/>
        <v>0</v>
      </c>
      <c r="AH85" s="120">
        <f t="shared" si="68"/>
        <v>0</v>
      </c>
      <c r="AI85" s="120">
        <f t="shared" si="68"/>
        <v>0</v>
      </c>
      <c r="AJ85" s="120">
        <f t="shared" ref="AJ85:AS94" si="69">+SUMIF($M$8:$M$77,$O85,AJ$8:AJ$77)</f>
        <v>0</v>
      </c>
      <c r="AK85" s="120">
        <f t="shared" si="69"/>
        <v>0</v>
      </c>
      <c r="AL85" s="120">
        <f t="shared" si="69"/>
        <v>0</v>
      </c>
      <c r="AM85" s="120">
        <f t="shared" si="69"/>
        <v>0</v>
      </c>
      <c r="AN85" s="120">
        <f t="shared" si="69"/>
        <v>0</v>
      </c>
      <c r="AO85" s="120">
        <f t="shared" si="69"/>
        <v>0</v>
      </c>
      <c r="AP85" s="120">
        <f t="shared" si="69"/>
        <v>0</v>
      </c>
      <c r="AQ85" s="120">
        <f t="shared" si="69"/>
        <v>0</v>
      </c>
      <c r="AR85" s="120">
        <f t="shared" si="69"/>
        <v>0</v>
      </c>
      <c r="AS85" s="120">
        <f t="shared" si="69"/>
        <v>9.3960000000000008</v>
      </c>
      <c r="AT85" s="120">
        <f t="shared" ref="AT85:BC94" si="70">+SUMIF($M$8:$M$77,$O85,AT$8:AT$77)</f>
        <v>39.204000000000001</v>
      </c>
      <c r="AU85" s="120">
        <f t="shared" si="70"/>
        <v>0</v>
      </c>
      <c r="AV85" s="120">
        <f t="shared" si="70"/>
        <v>6.16</v>
      </c>
      <c r="AW85" s="120">
        <f t="shared" si="70"/>
        <v>0</v>
      </c>
      <c r="AX85" s="120">
        <f t="shared" si="70"/>
        <v>54.759999999999991</v>
      </c>
      <c r="AY85" s="120">
        <f t="shared" si="70"/>
        <v>13</v>
      </c>
      <c r="AZ85" s="120">
        <f t="shared" si="70"/>
        <v>40.423000000000002</v>
      </c>
      <c r="BA85" s="120">
        <f t="shared" si="70"/>
        <v>0</v>
      </c>
      <c r="BB85" s="120">
        <f t="shared" si="70"/>
        <v>0</v>
      </c>
      <c r="BC85" s="120">
        <f t="shared" si="70"/>
        <v>0</v>
      </c>
      <c r="BD85" s="120">
        <f t="shared" ref="BD85:BP94" si="71">+SUMIF($M$8:$M$77,$O85,BD$8:BD$77)</f>
        <v>0</v>
      </c>
      <c r="BE85" s="120">
        <f t="shared" si="71"/>
        <v>0</v>
      </c>
      <c r="BF85" s="120">
        <f t="shared" si="71"/>
        <v>0</v>
      </c>
      <c r="BG85" s="120">
        <f t="shared" si="71"/>
        <v>0</v>
      </c>
      <c r="BH85" s="120">
        <f t="shared" si="71"/>
        <v>0</v>
      </c>
      <c r="BI85" s="120">
        <f t="shared" si="71"/>
        <v>0</v>
      </c>
      <c r="BJ85" s="120">
        <f t="shared" si="71"/>
        <v>0</v>
      </c>
      <c r="BK85" s="120">
        <f t="shared" si="71"/>
        <v>0</v>
      </c>
      <c r="BL85" s="120">
        <f t="shared" si="71"/>
        <v>0</v>
      </c>
      <c r="BM85" s="120">
        <f t="shared" si="71"/>
        <v>0</v>
      </c>
      <c r="BN85" s="120">
        <f t="shared" si="71"/>
        <v>0</v>
      </c>
      <c r="BO85" s="120">
        <f t="shared" si="71"/>
        <v>0</v>
      </c>
      <c r="BP85" s="120">
        <f t="shared" si="71"/>
        <v>0</v>
      </c>
      <c r="BR85" s="127">
        <f t="shared" ref="BR85:BR120" si="72">SUM(Z85,AH85)</f>
        <v>0</v>
      </c>
      <c r="BS85" s="127">
        <f>SUM(AP85)</f>
        <v>0</v>
      </c>
      <c r="BT85" s="127">
        <f>SUM(AP85,AX85,BF85,BN85)</f>
        <v>54.759999999999991</v>
      </c>
      <c r="BV85" s="107" t="s">
        <v>23</v>
      </c>
      <c r="BW85" s="115">
        <v>1</v>
      </c>
      <c r="BX85" s="115" t="s">
        <v>140</v>
      </c>
      <c r="BY85" s="127">
        <f t="shared" ref="BY85:BY97" si="73">+SUMIF($N$85:$N$120,$BW85,BR$85:BR$120)</f>
        <v>0</v>
      </c>
      <c r="BZ85" s="127">
        <f t="shared" ref="BZ85:BZ97" si="74">+SUMIF($N$85:$N$120,$BW85,BS$85:BS$120)</f>
        <v>0</v>
      </c>
      <c r="CA85" s="127">
        <f t="shared" ref="CA85:CA97" si="75">+SUMIF($N$85:$N$120,$BW85,BT$85:BT$120)</f>
        <v>73.085999999999984</v>
      </c>
      <c r="CD85" s="66" t="s">
        <v>157</v>
      </c>
      <c r="CE85" s="66" t="s">
        <v>54</v>
      </c>
      <c r="CF85" s="66" t="s">
        <v>70</v>
      </c>
    </row>
    <row r="86" spans="2:84" ht="36.65" x14ac:dyDescent="0.3">
      <c r="E86" s="124"/>
      <c r="F86" s="60"/>
      <c r="G86" s="60"/>
      <c r="H86" s="60"/>
      <c r="I86" s="60"/>
      <c r="J86" s="60"/>
      <c r="K86" s="59"/>
      <c r="L86" s="6"/>
      <c r="M86" s="125">
        <v>1</v>
      </c>
      <c r="N86" s="125">
        <v>2</v>
      </c>
      <c r="O86" s="71" t="s">
        <v>17</v>
      </c>
      <c r="P86" s="2">
        <f t="shared" si="67"/>
        <v>0</v>
      </c>
      <c r="Q86" s="2">
        <f t="shared" si="67"/>
        <v>0</v>
      </c>
      <c r="R86" s="2">
        <f t="shared" si="67"/>
        <v>0</v>
      </c>
      <c r="S86" s="2">
        <f t="shared" si="67"/>
        <v>120</v>
      </c>
      <c r="T86" s="2">
        <f t="shared" si="67"/>
        <v>0</v>
      </c>
      <c r="U86" s="2">
        <f t="shared" si="67"/>
        <v>0</v>
      </c>
      <c r="V86" s="2">
        <f t="shared" si="67"/>
        <v>0</v>
      </c>
      <c r="W86" s="2">
        <f t="shared" si="67"/>
        <v>0</v>
      </c>
      <c r="X86" s="2">
        <f t="shared" si="67"/>
        <v>0</v>
      </c>
      <c r="Y86" s="2">
        <f t="shared" si="67"/>
        <v>0</v>
      </c>
      <c r="Z86" s="120">
        <f t="shared" si="68"/>
        <v>0</v>
      </c>
      <c r="AA86" s="120">
        <f t="shared" si="68"/>
        <v>0</v>
      </c>
      <c r="AB86" s="120">
        <f t="shared" si="68"/>
        <v>0</v>
      </c>
      <c r="AC86" s="120">
        <f t="shared" si="68"/>
        <v>0</v>
      </c>
      <c r="AD86" s="120">
        <f t="shared" si="68"/>
        <v>0</v>
      </c>
      <c r="AE86" s="120">
        <f t="shared" si="68"/>
        <v>0</v>
      </c>
      <c r="AF86" s="120">
        <f t="shared" si="68"/>
        <v>0</v>
      </c>
      <c r="AG86" s="120">
        <f t="shared" si="68"/>
        <v>0</v>
      </c>
      <c r="AH86" s="120">
        <f t="shared" si="68"/>
        <v>0</v>
      </c>
      <c r="AI86" s="120">
        <f t="shared" si="68"/>
        <v>0</v>
      </c>
      <c r="AJ86" s="120">
        <f t="shared" si="69"/>
        <v>0</v>
      </c>
      <c r="AK86" s="120">
        <f t="shared" si="69"/>
        <v>0</v>
      </c>
      <c r="AL86" s="120">
        <f t="shared" si="69"/>
        <v>0</v>
      </c>
      <c r="AM86" s="120">
        <f t="shared" si="69"/>
        <v>0</v>
      </c>
      <c r="AN86" s="120">
        <f t="shared" si="69"/>
        <v>0</v>
      </c>
      <c r="AO86" s="120">
        <f t="shared" si="69"/>
        <v>0</v>
      </c>
      <c r="AP86" s="120">
        <f t="shared" si="69"/>
        <v>0</v>
      </c>
      <c r="AQ86" s="120">
        <f t="shared" si="69"/>
        <v>0</v>
      </c>
      <c r="AR86" s="120">
        <f t="shared" si="69"/>
        <v>0</v>
      </c>
      <c r="AS86" s="120">
        <f t="shared" si="69"/>
        <v>0</v>
      </c>
      <c r="AT86" s="120">
        <f t="shared" si="70"/>
        <v>0</v>
      </c>
      <c r="AU86" s="120">
        <f t="shared" si="70"/>
        <v>0</v>
      </c>
      <c r="AV86" s="120">
        <f t="shared" si="70"/>
        <v>9.6</v>
      </c>
      <c r="AW86" s="120">
        <f t="shared" si="70"/>
        <v>0</v>
      </c>
      <c r="AX86" s="120">
        <f t="shared" si="70"/>
        <v>9.6</v>
      </c>
      <c r="AY86" s="120">
        <f t="shared" si="70"/>
        <v>1</v>
      </c>
      <c r="AZ86" s="120">
        <f t="shared" si="70"/>
        <v>9.6</v>
      </c>
      <c r="BA86" s="120">
        <f t="shared" si="70"/>
        <v>0</v>
      </c>
      <c r="BB86" s="120">
        <f t="shared" si="70"/>
        <v>0</v>
      </c>
      <c r="BC86" s="120">
        <f t="shared" si="70"/>
        <v>0</v>
      </c>
      <c r="BD86" s="120">
        <f t="shared" si="71"/>
        <v>0</v>
      </c>
      <c r="BE86" s="120">
        <f t="shared" si="71"/>
        <v>0</v>
      </c>
      <c r="BF86" s="120">
        <f t="shared" si="71"/>
        <v>0</v>
      </c>
      <c r="BG86" s="120">
        <f t="shared" si="71"/>
        <v>0</v>
      </c>
      <c r="BH86" s="120">
        <f t="shared" si="71"/>
        <v>0</v>
      </c>
      <c r="BI86" s="120">
        <f t="shared" si="71"/>
        <v>0</v>
      </c>
      <c r="BJ86" s="120">
        <f t="shared" si="71"/>
        <v>0</v>
      </c>
      <c r="BK86" s="120">
        <f t="shared" si="71"/>
        <v>0</v>
      </c>
      <c r="BL86" s="120">
        <f t="shared" si="71"/>
        <v>0</v>
      </c>
      <c r="BM86" s="120">
        <f t="shared" si="71"/>
        <v>0</v>
      </c>
      <c r="BN86" s="120">
        <f t="shared" si="71"/>
        <v>0</v>
      </c>
      <c r="BO86" s="120">
        <f t="shared" si="71"/>
        <v>0</v>
      </c>
      <c r="BP86" s="120">
        <f t="shared" si="71"/>
        <v>0</v>
      </c>
      <c r="BR86" s="127">
        <f t="shared" si="72"/>
        <v>0</v>
      </c>
      <c r="BS86" s="127">
        <f t="shared" ref="BS86:BS120" si="76">SUM(AP86)</f>
        <v>0</v>
      </c>
      <c r="BT86" s="127">
        <f t="shared" ref="BT86:BT120" si="77">SUM(AP86,AX86,BF86,BN86)</f>
        <v>9.6</v>
      </c>
      <c r="BV86" s="107" t="s">
        <v>17</v>
      </c>
      <c r="BW86" s="115">
        <v>2</v>
      </c>
      <c r="BX86" s="115" t="s">
        <v>141</v>
      </c>
      <c r="BY86" s="127">
        <f t="shared" si="73"/>
        <v>0</v>
      </c>
      <c r="BZ86" s="127">
        <f t="shared" si="74"/>
        <v>0</v>
      </c>
      <c r="CA86" s="127">
        <f t="shared" si="75"/>
        <v>9.6</v>
      </c>
      <c r="CC86" s="140">
        <v>1</v>
      </c>
      <c r="CD86" s="127">
        <f t="shared" ref="CD86:CF89" si="78">+SUMIF($M$85:$M$120,$CC86,BR$85:BR$120)</f>
        <v>0</v>
      </c>
      <c r="CE86" s="127">
        <f t="shared" si="78"/>
        <v>0</v>
      </c>
      <c r="CF86" s="127">
        <f t="shared" si="78"/>
        <v>110.26299999999999</v>
      </c>
    </row>
    <row r="87" spans="2:84" ht="36.65" x14ac:dyDescent="0.3">
      <c r="E87" s="124"/>
      <c r="F87" s="60"/>
      <c r="G87" s="60"/>
      <c r="H87" s="60"/>
      <c r="I87" s="60"/>
      <c r="J87" s="60"/>
      <c r="K87" s="59"/>
      <c r="L87" s="6"/>
      <c r="M87" s="125">
        <v>1</v>
      </c>
      <c r="N87" s="125">
        <v>3</v>
      </c>
      <c r="O87" s="71" t="s">
        <v>9</v>
      </c>
      <c r="P87" s="2">
        <f t="shared" si="67"/>
        <v>0</v>
      </c>
      <c r="Q87" s="2">
        <f t="shared" si="67"/>
        <v>62</v>
      </c>
      <c r="R87" s="2">
        <f t="shared" si="67"/>
        <v>19</v>
      </c>
      <c r="S87" s="2">
        <f t="shared" si="67"/>
        <v>30</v>
      </c>
      <c r="T87" s="2">
        <f t="shared" si="67"/>
        <v>15</v>
      </c>
      <c r="U87" s="2">
        <f t="shared" si="67"/>
        <v>0</v>
      </c>
      <c r="V87" s="2">
        <f t="shared" si="67"/>
        <v>0</v>
      </c>
      <c r="W87" s="2">
        <f t="shared" si="67"/>
        <v>0</v>
      </c>
      <c r="X87" s="2">
        <f t="shared" si="67"/>
        <v>0</v>
      </c>
      <c r="Y87" s="2">
        <f t="shared" si="67"/>
        <v>0</v>
      </c>
      <c r="Z87" s="120">
        <f t="shared" si="68"/>
        <v>0</v>
      </c>
      <c r="AA87" s="120">
        <f t="shared" si="68"/>
        <v>0</v>
      </c>
      <c r="AB87" s="120">
        <f t="shared" si="68"/>
        <v>0</v>
      </c>
      <c r="AC87" s="120">
        <f t="shared" si="68"/>
        <v>0</v>
      </c>
      <c r="AD87" s="120">
        <f t="shared" si="68"/>
        <v>0</v>
      </c>
      <c r="AE87" s="120">
        <f t="shared" si="68"/>
        <v>0</v>
      </c>
      <c r="AF87" s="120">
        <f t="shared" si="68"/>
        <v>0</v>
      </c>
      <c r="AG87" s="120">
        <f t="shared" si="68"/>
        <v>0</v>
      </c>
      <c r="AH87" s="120">
        <f t="shared" si="68"/>
        <v>0</v>
      </c>
      <c r="AI87" s="120">
        <f t="shared" si="68"/>
        <v>0</v>
      </c>
      <c r="AJ87" s="120">
        <f t="shared" si="69"/>
        <v>0</v>
      </c>
      <c r="AK87" s="120">
        <f t="shared" si="69"/>
        <v>0</v>
      </c>
      <c r="AL87" s="120">
        <f t="shared" si="69"/>
        <v>0</v>
      </c>
      <c r="AM87" s="120">
        <f t="shared" si="69"/>
        <v>0</v>
      </c>
      <c r="AN87" s="120">
        <f t="shared" si="69"/>
        <v>0</v>
      </c>
      <c r="AO87" s="120">
        <f t="shared" si="69"/>
        <v>0</v>
      </c>
      <c r="AP87" s="120">
        <f t="shared" si="69"/>
        <v>0</v>
      </c>
      <c r="AQ87" s="120">
        <f t="shared" si="69"/>
        <v>0</v>
      </c>
      <c r="AR87" s="120">
        <f t="shared" si="69"/>
        <v>0</v>
      </c>
      <c r="AS87" s="120">
        <f t="shared" si="69"/>
        <v>0</v>
      </c>
      <c r="AT87" s="120">
        <f t="shared" si="70"/>
        <v>3.3479999999999999</v>
      </c>
      <c r="AU87" s="120">
        <f t="shared" si="70"/>
        <v>1.2350000000000001</v>
      </c>
      <c r="AV87" s="120">
        <f t="shared" si="70"/>
        <v>2.4</v>
      </c>
      <c r="AW87" s="120">
        <f t="shared" si="70"/>
        <v>1.5</v>
      </c>
      <c r="AX87" s="120">
        <f t="shared" si="70"/>
        <v>8.4830000000000005</v>
      </c>
      <c r="AY87" s="120">
        <f t="shared" si="70"/>
        <v>3</v>
      </c>
      <c r="AZ87" s="120">
        <f t="shared" si="70"/>
        <v>8.4830000000000005</v>
      </c>
      <c r="BA87" s="120">
        <f t="shared" si="70"/>
        <v>0</v>
      </c>
      <c r="BB87" s="120">
        <f t="shared" si="70"/>
        <v>0</v>
      </c>
      <c r="BC87" s="120">
        <f t="shared" si="70"/>
        <v>0</v>
      </c>
      <c r="BD87" s="120">
        <f t="shared" si="71"/>
        <v>0</v>
      </c>
      <c r="BE87" s="120">
        <f t="shared" si="71"/>
        <v>0</v>
      </c>
      <c r="BF87" s="120">
        <f t="shared" si="71"/>
        <v>0</v>
      </c>
      <c r="BG87" s="120">
        <f t="shared" si="71"/>
        <v>0</v>
      </c>
      <c r="BH87" s="120">
        <f t="shared" si="71"/>
        <v>0</v>
      </c>
      <c r="BI87" s="120">
        <f t="shared" si="71"/>
        <v>0</v>
      </c>
      <c r="BJ87" s="120">
        <f t="shared" si="71"/>
        <v>0</v>
      </c>
      <c r="BK87" s="120">
        <f t="shared" si="71"/>
        <v>0</v>
      </c>
      <c r="BL87" s="120">
        <f t="shared" si="71"/>
        <v>0</v>
      </c>
      <c r="BM87" s="120">
        <f t="shared" si="71"/>
        <v>0</v>
      </c>
      <c r="BN87" s="120">
        <f t="shared" si="71"/>
        <v>0</v>
      </c>
      <c r="BO87" s="120">
        <f t="shared" si="71"/>
        <v>0</v>
      </c>
      <c r="BP87" s="120">
        <f t="shared" si="71"/>
        <v>0</v>
      </c>
      <c r="BR87" s="127">
        <f t="shared" si="72"/>
        <v>0</v>
      </c>
      <c r="BS87" s="127">
        <f t="shared" si="76"/>
        <v>0</v>
      </c>
      <c r="BT87" s="127">
        <f t="shared" si="77"/>
        <v>8.4830000000000005</v>
      </c>
      <c r="BV87" s="107" t="s">
        <v>9</v>
      </c>
      <c r="BW87" s="115">
        <v>3</v>
      </c>
      <c r="BX87" s="115" t="s">
        <v>142</v>
      </c>
      <c r="BY87" s="127">
        <f t="shared" si="73"/>
        <v>0</v>
      </c>
      <c r="BZ87" s="127">
        <f t="shared" si="74"/>
        <v>0</v>
      </c>
      <c r="CA87" s="127">
        <f t="shared" si="75"/>
        <v>8.4830000000000005</v>
      </c>
      <c r="CC87" s="140">
        <v>2</v>
      </c>
      <c r="CD87" s="127">
        <f t="shared" si="78"/>
        <v>0</v>
      </c>
      <c r="CE87" s="127">
        <f t="shared" si="78"/>
        <v>0</v>
      </c>
      <c r="CF87" s="127">
        <f t="shared" si="78"/>
        <v>57.997000000000014</v>
      </c>
    </row>
    <row r="88" spans="2:84" ht="36.65" x14ac:dyDescent="0.3">
      <c r="E88" s="124"/>
      <c r="F88" s="60"/>
      <c r="G88" s="60"/>
      <c r="H88" s="60"/>
      <c r="I88" s="60"/>
      <c r="J88" s="60"/>
      <c r="K88" s="59"/>
      <c r="L88" s="6"/>
      <c r="M88" s="125">
        <v>1</v>
      </c>
      <c r="N88" s="125">
        <v>1</v>
      </c>
      <c r="O88" s="71" t="s">
        <v>128</v>
      </c>
      <c r="P88" s="2">
        <f t="shared" si="67"/>
        <v>0</v>
      </c>
      <c r="Q88" s="2">
        <f t="shared" si="67"/>
        <v>0</v>
      </c>
      <c r="R88" s="2">
        <f t="shared" si="67"/>
        <v>0</v>
      </c>
      <c r="S88" s="2">
        <f t="shared" si="67"/>
        <v>0</v>
      </c>
      <c r="T88" s="2">
        <f t="shared" si="67"/>
        <v>0</v>
      </c>
      <c r="U88" s="2">
        <f t="shared" si="67"/>
        <v>0</v>
      </c>
      <c r="V88" s="2">
        <f t="shared" si="67"/>
        <v>0</v>
      </c>
      <c r="W88" s="2">
        <f t="shared" si="67"/>
        <v>0</v>
      </c>
      <c r="X88" s="2">
        <f t="shared" si="67"/>
        <v>0</v>
      </c>
      <c r="Y88" s="2">
        <f t="shared" si="67"/>
        <v>0</v>
      </c>
      <c r="Z88" s="120">
        <f t="shared" si="68"/>
        <v>0</v>
      </c>
      <c r="AA88" s="120">
        <f t="shared" si="68"/>
        <v>0</v>
      </c>
      <c r="AB88" s="120">
        <f t="shared" si="68"/>
        <v>0</v>
      </c>
      <c r="AC88" s="120">
        <f t="shared" si="68"/>
        <v>0</v>
      </c>
      <c r="AD88" s="120">
        <f t="shared" si="68"/>
        <v>0</v>
      </c>
      <c r="AE88" s="120">
        <f t="shared" si="68"/>
        <v>0</v>
      </c>
      <c r="AF88" s="120">
        <f t="shared" si="68"/>
        <v>0</v>
      </c>
      <c r="AG88" s="120">
        <f t="shared" si="68"/>
        <v>0</v>
      </c>
      <c r="AH88" s="120">
        <f t="shared" si="68"/>
        <v>0</v>
      </c>
      <c r="AI88" s="120">
        <f t="shared" si="68"/>
        <v>0</v>
      </c>
      <c r="AJ88" s="120">
        <f t="shared" si="69"/>
        <v>0</v>
      </c>
      <c r="AK88" s="120">
        <f t="shared" si="69"/>
        <v>0</v>
      </c>
      <c r="AL88" s="120">
        <f t="shared" si="69"/>
        <v>0</v>
      </c>
      <c r="AM88" s="120">
        <f t="shared" si="69"/>
        <v>0</v>
      </c>
      <c r="AN88" s="120">
        <f t="shared" si="69"/>
        <v>0</v>
      </c>
      <c r="AO88" s="120">
        <f t="shared" si="69"/>
        <v>0</v>
      </c>
      <c r="AP88" s="120">
        <f t="shared" si="69"/>
        <v>0</v>
      </c>
      <c r="AQ88" s="120">
        <f t="shared" si="69"/>
        <v>0</v>
      </c>
      <c r="AR88" s="120">
        <f t="shared" si="69"/>
        <v>0</v>
      </c>
      <c r="AS88" s="120">
        <f t="shared" si="69"/>
        <v>0</v>
      </c>
      <c r="AT88" s="120">
        <f t="shared" si="70"/>
        <v>0</v>
      </c>
      <c r="AU88" s="120">
        <f t="shared" si="70"/>
        <v>0</v>
      </c>
      <c r="AV88" s="120">
        <f t="shared" si="70"/>
        <v>0</v>
      </c>
      <c r="AW88" s="120">
        <f t="shared" si="70"/>
        <v>0</v>
      </c>
      <c r="AX88" s="120">
        <f t="shared" si="70"/>
        <v>0</v>
      </c>
      <c r="AY88" s="120">
        <f t="shared" si="70"/>
        <v>0</v>
      </c>
      <c r="AZ88" s="120">
        <f t="shared" si="70"/>
        <v>0</v>
      </c>
      <c r="BA88" s="120">
        <f t="shared" si="70"/>
        <v>0</v>
      </c>
      <c r="BB88" s="120">
        <f t="shared" si="70"/>
        <v>0</v>
      </c>
      <c r="BC88" s="120">
        <f t="shared" si="70"/>
        <v>0</v>
      </c>
      <c r="BD88" s="120">
        <f t="shared" si="71"/>
        <v>0</v>
      </c>
      <c r="BE88" s="120">
        <f t="shared" si="71"/>
        <v>0</v>
      </c>
      <c r="BF88" s="120">
        <f t="shared" si="71"/>
        <v>0</v>
      </c>
      <c r="BG88" s="120">
        <f t="shared" si="71"/>
        <v>0</v>
      </c>
      <c r="BH88" s="120">
        <f t="shared" si="71"/>
        <v>0</v>
      </c>
      <c r="BI88" s="120">
        <f t="shared" si="71"/>
        <v>0</v>
      </c>
      <c r="BJ88" s="120">
        <f t="shared" si="71"/>
        <v>0</v>
      </c>
      <c r="BK88" s="120">
        <f t="shared" si="71"/>
        <v>0</v>
      </c>
      <c r="BL88" s="120">
        <f t="shared" si="71"/>
        <v>0</v>
      </c>
      <c r="BM88" s="120">
        <f t="shared" si="71"/>
        <v>0</v>
      </c>
      <c r="BN88" s="120">
        <f t="shared" si="71"/>
        <v>0</v>
      </c>
      <c r="BO88" s="120">
        <f t="shared" si="71"/>
        <v>0</v>
      </c>
      <c r="BP88" s="120">
        <f t="shared" si="71"/>
        <v>0</v>
      </c>
      <c r="BR88" s="127">
        <f t="shared" si="72"/>
        <v>0</v>
      </c>
      <c r="BS88" s="127">
        <f t="shared" si="76"/>
        <v>0</v>
      </c>
      <c r="BT88" s="127">
        <f t="shared" si="77"/>
        <v>0</v>
      </c>
      <c r="BV88" s="107" t="s">
        <v>14</v>
      </c>
      <c r="BW88" s="115">
        <v>4</v>
      </c>
      <c r="BX88" s="115" t="s">
        <v>143</v>
      </c>
      <c r="BY88" s="127">
        <f t="shared" si="73"/>
        <v>0</v>
      </c>
      <c r="BZ88" s="127">
        <f t="shared" si="74"/>
        <v>0</v>
      </c>
      <c r="CA88" s="127">
        <f t="shared" si="75"/>
        <v>10.43</v>
      </c>
      <c r="CC88" s="140">
        <v>3</v>
      </c>
      <c r="CD88" s="127">
        <f t="shared" si="78"/>
        <v>0</v>
      </c>
      <c r="CE88" s="127">
        <f t="shared" si="78"/>
        <v>0</v>
      </c>
      <c r="CF88" s="127">
        <f t="shared" si="78"/>
        <v>21.469000000000001</v>
      </c>
    </row>
    <row r="89" spans="2:84" ht="36.65" x14ac:dyDescent="0.3">
      <c r="E89" s="124"/>
      <c r="F89" s="60"/>
      <c r="G89" s="60"/>
      <c r="H89" s="60"/>
      <c r="I89" s="60"/>
      <c r="J89" s="60"/>
      <c r="K89" s="59"/>
      <c r="L89" s="6"/>
      <c r="M89" s="125">
        <v>1</v>
      </c>
      <c r="N89" s="125">
        <v>1</v>
      </c>
      <c r="O89" s="71" t="s">
        <v>129</v>
      </c>
      <c r="P89" s="2">
        <f t="shared" si="67"/>
        <v>0</v>
      </c>
      <c r="Q89" s="2">
        <f t="shared" si="67"/>
        <v>0</v>
      </c>
      <c r="R89" s="2">
        <f t="shared" si="67"/>
        <v>0</v>
      </c>
      <c r="S89" s="2">
        <f t="shared" si="67"/>
        <v>0</v>
      </c>
      <c r="T89" s="2">
        <f t="shared" si="67"/>
        <v>0</v>
      </c>
      <c r="U89" s="2">
        <f t="shared" si="67"/>
        <v>0</v>
      </c>
      <c r="V89" s="2">
        <f t="shared" si="67"/>
        <v>0</v>
      </c>
      <c r="W89" s="2">
        <f t="shared" si="67"/>
        <v>0</v>
      </c>
      <c r="X89" s="2">
        <f t="shared" si="67"/>
        <v>0</v>
      </c>
      <c r="Y89" s="2">
        <f t="shared" si="67"/>
        <v>0</v>
      </c>
      <c r="Z89" s="120">
        <f t="shared" si="68"/>
        <v>0</v>
      </c>
      <c r="AA89" s="120">
        <f t="shared" si="68"/>
        <v>0</v>
      </c>
      <c r="AB89" s="120">
        <f t="shared" si="68"/>
        <v>0</v>
      </c>
      <c r="AC89" s="120">
        <f t="shared" si="68"/>
        <v>0</v>
      </c>
      <c r="AD89" s="120">
        <f t="shared" si="68"/>
        <v>0</v>
      </c>
      <c r="AE89" s="120">
        <f t="shared" si="68"/>
        <v>0</v>
      </c>
      <c r="AF89" s="120">
        <f t="shared" si="68"/>
        <v>0</v>
      </c>
      <c r="AG89" s="120">
        <f t="shared" si="68"/>
        <v>0</v>
      </c>
      <c r="AH89" s="120">
        <f t="shared" si="68"/>
        <v>0</v>
      </c>
      <c r="AI89" s="120">
        <f t="shared" si="68"/>
        <v>0</v>
      </c>
      <c r="AJ89" s="120">
        <f t="shared" si="69"/>
        <v>0</v>
      </c>
      <c r="AK89" s="120">
        <f t="shared" si="69"/>
        <v>0</v>
      </c>
      <c r="AL89" s="120">
        <f t="shared" si="69"/>
        <v>0</v>
      </c>
      <c r="AM89" s="120">
        <f t="shared" si="69"/>
        <v>0</v>
      </c>
      <c r="AN89" s="120">
        <f t="shared" si="69"/>
        <v>0</v>
      </c>
      <c r="AO89" s="120">
        <f t="shared" si="69"/>
        <v>0</v>
      </c>
      <c r="AP89" s="120">
        <f t="shared" si="69"/>
        <v>0</v>
      </c>
      <c r="AQ89" s="120">
        <f t="shared" si="69"/>
        <v>0</v>
      </c>
      <c r="AR89" s="120">
        <f t="shared" si="69"/>
        <v>0</v>
      </c>
      <c r="AS89" s="120">
        <f t="shared" si="69"/>
        <v>0</v>
      </c>
      <c r="AT89" s="120">
        <f t="shared" si="70"/>
        <v>0</v>
      </c>
      <c r="AU89" s="120">
        <f t="shared" si="70"/>
        <v>0</v>
      </c>
      <c r="AV89" s="120">
        <f t="shared" si="70"/>
        <v>0</v>
      </c>
      <c r="AW89" s="120">
        <f t="shared" si="70"/>
        <v>0</v>
      </c>
      <c r="AX89" s="120">
        <f t="shared" si="70"/>
        <v>0</v>
      </c>
      <c r="AY89" s="120">
        <f t="shared" si="70"/>
        <v>0</v>
      </c>
      <c r="AZ89" s="120">
        <f t="shared" si="70"/>
        <v>0</v>
      </c>
      <c r="BA89" s="120">
        <f t="shared" si="70"/>
        <v>0</v>
      </c>
      <c r="BB89" s="120">
        <f t="shared" si="70"/>
        <v>0</v>
      </c>
      <c r="BC89" s="120">
        <f t="shared" si="70"/>
        <v>0</v>
      </c>
      <c r="BD89" s="120">
        <f t="shared" si="71"/>
        <v>0</v>
      </c>
      <c r="BE89" s="120">
        <f t="shared" si="71"/>
        <v>0</v>
      </c>
      <c r="BF89" s="120">
        <f t="shared" si="71"/>
        <v>0</v>
      </c>
      <c r="BG89" s="120">
        <f t="shared" si="71"/>
        <v>0</v>
      </c>
      <c r="BH89" s="120">
        <f t="shared" si="71"/>
        <v>0</v>
      </c>
      <c r="BI89" s="120">
        <f t="shared" si="71"/>
        <v>0</v>
      </c>
      <c r="BJ89" s="120">
        <f t="shared" si="71"/>
        <v>0</v>
      </c>
      <c r="BK89" s="120">
        <f t="shared" si="71"/>
        <v>0</v>
      </c>
      <c r="BL89" s="120">
        <f t="shared" si="71"/>
        <v>0</v>
      </c>
      <c r="BM89" s="120">
        <f t="shared" si="71"/>
        <v>0</v>
      </c>
      <c r="BN89" s="120">
        <f t="shared" si="71"/>
        <v>0</v>
      </c>
      <c r="BO89" s="120">
        <f t="shared" si="71"/>
        <v>0</v>
      </c>
      <c r="BP89" s="120">
        <f t="shared" si="71"/>
        <v>0</v>
      </c>
      <c r="BR89" s="127">
        <f t="shared" si="72"/>
        <v>0</v>
      </c>
      <c r="BS89" s="127">
        <f t="shared" si="76"/>
        <v>0</v>
      </c>
      <c r="BT89" s="127">
        <f t="shared" si="77"/>
        <v>0</v>
      </c>
      <c r="BV89" s="107" t="s">
        <v>21</v>
      </c>
      <c r="BW89" s="115">
        <v>5</v>
      </c>
      <c r="BX89" s="115" t="s">
        <v>144</v>
      </c>
      <c r="BY89" s="127">
        <f t="shared" si="73"/>
        <v>0</v>
      </c>
      <c r="BZ89" s="127">
        <f t="shared" si="74"/>
        <v>0</v>
      </c>
      <c r="CA89" s="127">
        <f t="shared" si="75"/>
        <v>2.3239999999999998</v>
      </c>
      <c r="CC89" s="140">
        <v>4</v>
      </c>
      <c r="CD89" s="127">
        <f t="shared" si="78"/>
        <v>0</v>
      </c>
      <c r="CE89" s="127">
        <f t="shared" si="78"/>
        <v>0</v>
      </c>
      <c r="CF89" s="127">
        <f t="shared" si="78"/>
        <v>78.969000000000008</v>
      </c>
    </row>
    <row r="90" spans="2:84" ht="25.2" customHeight="1" x14ac:dyDescent="0.3">
      <c r="E90" s="124"/>
      <c r="F90" s="60"/>
      <c r="G90" s="60"/>
      <c r="H90" s="60"/>
      <c r="I90" s="60"/>
      <c r="J90" s="60"/>
      <c r="K90" s="59"/>
      <c r="L90" s="6"/>
      <c r="M90" s="125">
        <v>1</v>
      </c>
      <c r="N90" s="125">
        <v>1</v>
      </c>
      <c r="O90" s="71" t="s">
        <v>127</v>
      </c>
      <c r="P90" s="2">
        <f t="shared" si="67"/>
        <v>5</v>
      </c>
      <c r="Q90" s="2">
        <f t="shared" si="67"/>
        <v>6</v>
      </c>
      <c r="R90" s="2">
        <f t="shared" si="67"/>
        <v>0</v>
      </c>
      <c r="S90" s="2">
        <f t="shared" si="67"/>
        <v>0</v>
      </c>
      <c r="T90" s="2">
        <f t="shared" si="67"/>
        <v>0</v>
      </c>
      <c r="U90" s="2">
        <f t="shared" si="67"/>
        <v>0</v>
      </c>
      <c r="V90" s="2">
        <f t="shared" si="67"/>
        <v>0</v>
      </c>
      <c r="W90" s="2">
        <f t="shared" si="67"/>
        <v>0</v>
      </c>
      <c r="X90" s="2">
        <f t="shared" si="67"/>
        <v>0</v>
      </c>
      <c r="Y90" s="2">
        <f t="shared" si="67"/>
        <v>0</v>
      </c>
      <c r="Z90" s="120">
        <f t="shared" si="68"/>
        <v>0</v>
      </c>
      <c r="AA90" s="120">
        <f t="shared" si="68"/>
        <v>0</v>
      </c>
      <c r="AB90" s="120">
        <f t="shared" si="68"/>
        <v>0</v>
      </c>
      <c r="AC90" s="120">
        <f t="shared" si="68"/>
        <v>0</v>
      </c>
      <c r="AD90" s="120">
        <f t="shared" si="68"/>
        <v>0</v>
      </c>
      <c r="AE90" s="120">
        <f t="shared" si="68"/>
        <v>0</v>
      </c>
      <c r="AF90" s="120">
        <f t="shared" si="68"/>
        <v>0</v>
      </c>
      <c r="AG90" s="120">
        <f t="shared" si="68"/>
        <v>0</v>
      </c>
      <c r="AH90" s="120">
        <f t="shared" si="68"/>
        <v>0</v>
      </c>
      <c r="AI90" s="120">
        <f t="shared" si="68"/>
        <v>0</v>
      </c>
      <c r="AJ90" s="120">
        <f t="shared" si="69"/>
        <v>0</v>
      </c>
      <c r="AK90" s="120">
        <f t="shared" si="69"/>
        <v>0</v>
      </c>
      <c r="AL90" s="120">
        <f t="shared" si="69"/>
        <v>0</v>
      </c>
      <c r="AM90" s="120">
        <f t="shared" si="69"/>
        <v>0</v>
      </c>
      <c r="AN90" s="120">
        <f t="shared" si="69"/>
        <v>0</v>
      </c>
      <c r="AO90" s="120">
        <f t="shared" si="69"/>
        <v>0</v>
      </c>
      <c r="AP90" s="120">
        <f t="shared" si="69"/>
        <v>0</v>
      </c>
      <c r="AQ90" s="120">
        <f t="shared" si="69"/>
        <v>0</v>
      </c>
      <c r="AR90" s="120">
        <f t="shared" si="69"/>
        <v>0</v>
      </c>
      <c r="AS90" s="120">
        <f t="shared" si="69"/>
        <v>0.27</v>
      </c>
      <c r="AT90" s="120">
        <f t="shared" si="70"/>
        <v>0.32400000000000001</v>
      </c>
      <c r="AU90" s="120">
        <f t="shared" si="70"/>
        <v>0</v>
      </c>
      <c r="AV90" s="120">
        <f t="shared" si="70"/>
        <v>0</v>
      </c>
      <c r="AW90" s="120">
        <f t="shared" si="70"/>
        <v>0</v>
      </c>
      <c r="AX90" s="120">
        <f t="shared" si="70"/>
        <v>0.59400000000000008</v>
      </c>
      <c r="AY90" s="120">
        <f t="shared" si="70"/>
        <v>1</v>
      </c>
      <c r="AZ90" s="120">
        <f t="shared" si="70"/>
        <v>0.59399999999999997</v>
      </c>
      <c r="BA90" s="120">
        <f t="shared" si="70"/>
        <v>0</v>
      </c>
      <c r="BB90" s="120">
        <f t="shared" si="70"/>
        <v>0</v>
      </c>
      <c r="BC90" s="120">
        <f t="shared" si="70"/>
        <v>0</v>
      </c>
      <c r="BD90" s="120">
        <f t="shared" si="71"/>
        <v>0</v>
      </c>
      <c r="BE90" s="120">
        <f t="shared" si="71"/>
        <v>0</v>
      </c>
      <c r="BF90" s="120">
        <f t="shared" si="71"/>
        <v>0</v>
      </c>
      <c r="BG90" s="120">
        <f t="shared" si="71"/>
        <v>0</v>
      </c>
      <c r="BH90" s="120">
        <f t="shared" si="71"/>
        <v>0</v>
      </c>
      <c r="BI90" s="120">
        <f t="shared" si="71"/>
        <v>0</v>
      </c>
      <c r="BJ90" s="120">
        <f t="shared" si="71"/>
        <v>0</v>
      </c>
      <c r="BK90" s="120">
        <f t="shared" si="71"/>
        <v>0</v>
      </c>
      <c r="BL90" s="120">
        <f t="shared" si="71"/>
        <v>0</v>
      </c>
      <c r="BM90" s="120">
        <f t="shared" si="71"/>
        <v>0</v>
      </c>
      <c r="BN90" s="120">
        <f t="shared" si="71"/>
        <v>0</v>
      </c>
      <c r="BO90" s="120">
        <f t="shared" si="71"/>
        <v>0</v>
      </c>
      <c r="BP90" s="120">
        <f t="shared" si="71"/>
        <v>0</v>
      </c>
      <c r="BR90" s="127">
        <f t="shared" si="72"/>
        <v>0</v>
      </c>
      <c r="BS90" s="127">
        <f t="shared" si="76"/>
        <v>0</v>
      </c>
      <c r="BT90" s="127">
        <f t="shared" si="77"/>
        <v>0.59400000000000008</v>
      </c>
      <c r="BV90" s="107" t="s">
        <v>20</v>
      </c>
      <c r="BW90" s="115">
        <v>6</v>
      </c>
      <c r="BX90" s="115" t="s">
        <v>145</v>
      </c>
      <c r="BY90" s="127">
        <f t="shared" si="73"/>
        <v>0</v>
      </c>
      <c r="BZ90" s="127">
        <f t="shared" si="74"/>
        <v>0</v>
      </c>
      <c r="CA90" s="127">
        <f t="shared" si="75"/>
        <v>6.34</v>
      </c>
      <c r="CD90" s="123">
        <f>SUM(CD86:CD89)</f>
        <v>0</v>
      </c>
      <c r="CE90" s="123">
        <f t="shared" ref="CE90:CF90" si="79">SUM(CE86:CE89)</f>
        <v>0</v>
      </c>
      <c r="CF90" s="123">
        <f t="shared" si="79"/>
        <v>268.69799999999998</v>
      </c>
    </row>
    <row r="91" spans="2:84" ht="25.2" customHeight="1" x14ac:dyDescent="0.3">
      <c r="E91" s="124"/>
      <c r="F91" s="60"/>
      <c r="G91" s="60"/>
      <c r="H91" s="60"/>
      <c r="I91" s="60"/>
      <c r="J91" s="60"/>
      <c r="K91" s="59"/>
      <c r="L91" s="6"/>
      <c r="M91" s="125">
        <v>1</v>
      </c>
      <c r="N91" s="125">
        <v>1</v>
      </c>
      <c r="O91" s="71" t="s">
        <v>5</v>
      </c>
      <c r="P91" s="2">
        <f t="shared" si="67"/>
        <v>50</v>
      </c>
      <c r="Q91" s="2">
        <f t="shared" si="67"/>
        <v>98</v>
      </c>
      <c r="R91" s="2">
        <f t="shared" si="67"/>
        <v>0</v>
      </c>
      <c r="S91" s="2">
        <f t="shared" si="67"/>
        <v>103</v>
      </c>
      <c r="T91" s="2">
        <f t="shared" si="67"/>
        <v>15</v>
      </c>
      <c r="U91" s="2">
        <f t="shared" si="67"/>
        <v>0</v>
      </c>
      <c r="V91" s="2">
        <f t="shared" si="67"/>
        <v>0</v>
      </c>
      <c r="W91" s="2">
        <f t="shared" si="67"/>
        <v>0</v>
      </c>
      <c r="X91" s="2">
        <f t="shared" si="67"/>
        <v>0</v>
      </c>
      <c r="Y91" s="2">
        <f t="shared" si="67"/>
        <v>0</v>
      </c>
      <c r="Z91" s="120">
        <f t="shared" si="68"/>
        <v>0</v>
      </c>
      <c r="AA91" s="120">
        <f t="shared" si="68"/>
        <v>0</v>
      </c>
      <c r="AB91" s="120">
        <f t="shared" si="68"/>
        <v>0</v>
      </c>
      <c r="AC91" s="120">
        <f t="shared" si="68"/>
        <v>0</v>
      </c>
      <c r="AD91" s="120">
        <f t="shared" si="68"/>
        <v>0</v>
      </c>
      <c r="AE91" s="120">
        <f t="shared" si="68"/>
        <v>0</v>
      </c>
      <c r="AF91" s="120">
        <f t="shared" si="68"/>
        <v>0</v>
      </c>
      <c r="AG91" s="120">
        <f t="shared" si="68"/>
        <v>0</v>
      </c>
      <c r="AH91" s="120">
        <f t="shared" si="68"/>
        <v>0</v>
      </c>
      <c r="AI91" s="120">
        <f t="shared" si="68"/>
        <v>0</v>
      </c>
      <c r="AJ91" s="120">
        <f t="shared" si="69"/>
        <v>0</v>
      </c>
      <c r="AK91" s="120">
        <f t="shared" si="69"/>
        <v>0</v>
      </c>
      <c r="AL91" s="120">
        <f t="shared" si="69"/>
        <v>0</v>
      </c>
      <c r="AM91" s="120">
        <f t="shared" si="69"/>
        <v>0</v>
      </c>
      <c r="AN91" s="120">
        <f t="shared" si="69"/>
        <v>0</v>
      </c>
      <c r="AO91" s="120">
        <f t="shared" si="69"/>
        <v>0</v>
      </c>
      <c r="AP91" s="120">
        <f t="shared" si="69"/>
        <v>0</v>
      </c>
      <c r="AQ91" s="120">
        <f t="shared" si="69"/>
        <v>0</v>
      </c>
      <c r="AR91" s="120">
        <f t="shared" si="69"/>
        <v>0</v>
      </c>
      <c r="AS91" s="120">
        <f t="shared" si="69"/>
        <v>2.7</v>
      </c>
      <c r="AT91" s="120">
        <f t="shared" si="70"/>
        <v>5.2919999999999998</v>
      </c>
      <c r="AU91" s="120">
        <f t="shared" si="70"/>
        <v>0</v>
      </c>
      <c r="AV91" s="120">
        <f t="shared" si="70"/>
        <v>8.24</v>
      </c>
      <c r="AW91" s="120">
        <f t="shared" si="70"/>
        <v>1.5</v>
      </c>
      <c r="AX91" s="120">
        <f t="shared" si="70"/>
        <v>17.731999999999999</v>
      </c>
      <c r="AY91" s="120">
        <f t="shared" si="70"/>
        <v>3</v>
      </c>
      <c r="AZ91" s="120">
        <f t="shared" si="70"/>
        <v>17.731999999999999</v>
      </c>
      <c r="BA91" s="120">
        <f t="shared" si="70"/>
        <v>0</v>
      </c>
      <c r="BB91" s="120">
        <f t="shared" si="70"/>
        <v>0</v>
      </c>
      <c r="BC91" s="120">
        <f t="shared" si="70"/>
        <v>0</v>
      </c>
      <c r="BD91" s="120">
        <f t="shared" si="71"/>
        <v>0</v>
      </c>
      <c r="BE91" s="120">
        <f t="shared" si="71"/>
        <v>0</v>
      </c>
      <c r="BF91" s="120">
        <f t="shared" si="71"/>
        <v>0</v>
      </c>
      <c r="BG91" s="120">
        <f t="shared" si="71"/>
        <v>0</v>
      </c>
      <c r="BH91" s="120">
        <f t="shared" si="71"/>
        <v>0</v>
      </c>
      <c r="BI91" s="120">
        <f t="shared" si="71"/>
        <v>0</v>
      </c>
      <c r="BJ91" s="120">
        <f t="shared" si="71"/>
        <v>0</v>
      </c>
      <c r="BK91" s="120">
        <f t="shared" si="71"/>
        <v>0</v>
      </c>
      <c r="BL91" s="120">
        <f t="shared" si="71"/>
        <v>0</v>
      </c>
      <c r="BM91" s="120">
        <f t="shared" si="71"/>
        <v>0</v>
      </c>
      <c r="BN91" s="120">
        <f t="shared" si="71"/>
        <v>0</v>
      </c>
      <c r="BO91" s="120">
        <f t="shared" si="71"/>
        <v>0</v>
      </c>
      <c r="BP91" s="120">
        <f t="shared" si="71"/>
        <v>0</v>
      </c>
      <c r="BR91" s="127">
        <f t="shared" si="72"/>
        <v>0</v>
      </c>
      <c r="BS91" s="127">
        <f t="shared" si="76"/>
        <v>0</v>
      </c>
      <c r="BT91" s="127">
        <f t="shared" si="77"/>
        <v>17.731999999999999</v>
      </c>
      <c r="BV91" s="107" t="s">
        <v>67</v>
      </c>
      <c r="BW91" s="115">
        <v>7</v>
      </c>
      <c r="BX91" s="115" t="s">
        <v>146</v>
      </c>
      <c r="BY91" s="127">
        <f t="shared" si="73"/>
        <v>0</v>
      </c>
      <c r="BZ91" s="127">
        <f t="shared" si="74"/>
        <v>0</v>
      </c>
      <c r="CA91" s="127">
        <f t="shared" si="75"/>
        <v>87.367000000000004</v>
      </c>
    </row>
    <row r="92" spans="2:84" ht="25.2" customHeight="1" x14ac:dyDescent="0.3">
      <c r="E92" s="124"/>
      <c r="F92" s="60"/>
      <c r="G92" s="60"/>
      <c r="H92" s="60"/>
      <c r="I92" s="60"/>
      <c r="J92" s="60"/>
      <c r="K92" s="59"/>
      <c r="L92" s="6"/>
      <c r="M92" s="125">
        <v>1</v>
      </c>
      <c r="N92" s="125">
        <v>4</v>
      </c>
      <c r="O92" s="71" t="s">
        <v>14</v>
      </c>
      <c r="P92" s="2">
        <f t="shared" si="67"/>
        <v>0</v>
      </c>
      <c r="Q92" s="2">
        <f t="shared" si="67"/>
        <v>45</v>
      </c>
      <c r="R92" s="2">
        <f t="shared" si="67"/>
        <v>0</v>
      </c>
      <c r="S92" s="2">
        <f t="shared" si="67"/>
        <v>0</v>
      </c>
      <c r="T92" s="2">
        <f t="shared" si="67"/>
        <v>80</v>
      </c>
      <c r="U92" s="2">
        <f t="shared" si="67"/>
        <v>0</v>
      </c>
      <c r="V92" s="2">
        <f t="shared" si="67"/>
        <v>0</v>
      </c>
      <c r="W92" s="2">
        <f t="shared" si="67"/>
        <v>0</v>
      </c>
      <c r="X92" s="2">
        <f t="shared" si="67"/>
        <v>0</v>
      </c>
      <c r="Y92" s="2">
        <f t="shared" si="67"/>
        <v>0</v>
      </c>
      <c r="Z92" s="120">
        <f t="shared" si="68"/>
        <v>0</v>
      </c>
      <c r="AA92" s="120">
        <f t="shared" si="68"/>
        <v>0</v>
      </c>
      <c r="AB92" s="120">
        <f t="shared" si="68"/>
        <v>0</v>
      </c>
      <c r="AC92" s="120">
        <f t="shared" si="68"/>
        <v>0</v>
      </c>
      <c r="AD92" s="120">
        <f t="shared" si="68"/>
        <v>0</v>
      </c>
      <c r="AE92" s="120">
        <f t="shared" si="68"/>
        <v>0</v>
      </c>
      <c r="AF92" s="120">
        <f t="shared" si="68"/>
        <v>0</v>
      </c>
      <c r="AG92" s="120">
        <f t="shared" si="68"/>
        <v>0</v>
      </c>
      <c r="AH92" s="120">
        <f t="shared" si="68"/>
        <v>0</v>
      </c>
      <c r="AI92" s="120">
        <f t="shared" si="68"/>
        <v>0</v>
      </c>
      <c r="AJ92" s="120">
        <f t="shared" si="69"/>
        <v>0</v>
      </c>
      <c r="AK92" s="120">
        <f t="shared" si="69"/>
        <v>0</v>
      </c>
      <c r="AL92" s="120">
        <f t="shared" si="69"/>
        <v>0</v>
      </c>
      <c r="AM92" s="120">
        <f t="shared" si="69"/>
        <v>0</v>
      </c>
      <c r="AN92" s="120">
        <f t="shared" si="69"/>
        <v>0</v>
      </c>
      <c r="AO92" s="120">
        <f t="shared" si="69"/>
        <v>0</v>
      </c>
      <c r="AP92" s="120">
        <f t="shared" si="69"/>
        <v>0</v>
      </c>
      <c r="AQ92" s="120">
        <f t="shared" si="69"/>
        <v>0</v>
      </c>
      <c r="AR92" s="120">
        <f t="shared" si="69"/>
        <v>0</v>
      </c>
      <c r="AS92" s="120">
        <f t="shared" si="69"/>
        <v>0</v>
      </c>
      <c r="AT92" s="120">
        <f t="shared" si="70"/>
        <v>2.4300000000000002</v>
      </c>
      <c r="AU92" s="120">
        <f t="shared" si="70"/>
        <v>0</v>
      </c>
      <c r="AV92" s="120">
        <f t="shared" si="70"/>
        <v>0</v>
      </c>
      <c r="AW92" s="120">
        <f t="shared" si="70"/>
        <v>8</v>
      </c>
      <c r="AX92" s="120">
        <f t="shared" si="70"/>
        <v>10.43</v>
      </c>
      <c r="AY92" s="120">
        <f t="shared" si="70"/>
        <v>3</v>
      </c>
      <c r="AZ92" s="120">
        <f t="shared" si="70"/>
        <v>10.43</v>
      </c>
      <c r="BA92" s="120">
        <f t="shared" si="70"/>
        <v>0</v>
      </c>
      <c r="BB92" s="120">
        <f t="shared" si="70"/>
        <v>0</v>
      </c>
      <c r="BC92" s="120">
        <f t="shared" si="70"/>
        <v>0</v>
      </c>
      <c r="BD92" s="120">
        <f t="shared" si="71"/>
        <v>0</v>
      </c>
      <c r="BE92" s="120">
        <f t="shared" si="71"/>
        <v>0</v>
      </c>
      <c r="BF92" s="120">
        <f t="shared" si="71"/>
        <v>0</v>
      </c>
      <c r="BG92" s="120">
        <f t="shared" si="71"/>
        <v>0</v>
      </c>
      <c r="BH92" s="120">
        <f t="shared" si="71"/>
        <v>0</v>
      </c>
      <c r="BI92" s="120">
        <f t="shared" si="71"/>
        <v>0</v>
      </c>
      <c r="BJ92" s="120">
        <f t="shared" si="71"/>
        <v>0</v>
      </c>
      <c r="BK92" s="120">
        <f t="shared" si="71"/>
        <v>0</v>
      </c>
      <c r="BL92" s="120">
        <f t="shared" si="71"/>
        <v>0</v>
      </c>
      <c r="BM92" s="120">
        <f t="shared" si="71"/>
        <v>0</v>
      </c>
      <c r="BN92" s="120">
        <f t="shared" si="71"/>
        <v>0</v>
      </c>
      <c r="BO92" s="120">
        <f t="shared" si="71"/>
        <v>0</v>
      </c>
      <c r="BP92" s="120">
        <f t="shared" si="71"/>
        <v>0</v>
      </c>
      <c r="BR92" s="127">
        <f t="shared" si="72"/>
        <v>0</v>
      </c>
      <c r="BS92" s="127">
        <f t="shared" si="76"/>
        <v>0</v>
      </c>
      <c r="BT92" s="127">
        <f t="shared" si="77"/>
        <v>10.43</v>
      </c>
      <c r="BV92" s="107" t="s">
        <v>32</v>
      </c>
      <c r="BW92" s="115">
        <v>8</v>
      </c>
      <c r="BX92" s="115" t="s">
        <v>147</v>
      </c>
      <c r="BY92" s="127">
        <f t="shared" si="73"/>
        <v>0</v>
      </c>
      <c r="BZ92" s="127">
        <f t="shared" si="74"/>
        <v>0</v>
      </c>
      <c r="CA92" s="127">
        <f t="shared" si="75"/>
        <v>4.1580000000000004</v>
      </c>
    </row>
    <row r="93" spans="2:84" ht="25.2" customHeight="1" x14ac:dyDescent="0.3">
      <c r="L93" s="6"/>
      <c r="M93" s="125">
        <v>1</v>
      </c>
      <c r="N93" s="125">
        <v>5</v>
      </c>
      <c r="O93" s="71" t="s">
        <v>21</v>
      </c>
      <c r="P93" s="2">
        <f t="shared" si="67"/>
        <v>8</v>
      </c>
      <c r="Q93" s="2">
        <f t="shared" si="67"/>
        <v>13</v>
      </c>
      <c r="R93" s="2">
        <f t="shared" si="67"/>
        <v>10</v>
      </c>
      <c r="S93" s="2">
        <f t="shared" si="67"/>
        <v>3</v>
      </c>
      <c r="T93" s="2">
        <f t="shared" si="67"/>
        <v>3</v>
      </c>
      <c r="U93" s="2">
        <f t="shared" si="67"/>
        <v>0</v>
      </c>
      <c r="V93" s="2">
        <f t="shared" si="67"/>
        <v>0</v>
      </c>
      <c r="W93" s="2">
        <f t="shared" si="67"/>
        <v>0</v>
      </c>
      <c r="X93" s="2">
        <f t="shared" si="67"/>
        <v>0</v>
      </c>
      <c r="Y93" s="2">
        <f t="shared" si="67"/>
        <v>0</v>
      </c>
      <c r="Z93" s="120">
        <f t="shared" si="68"/>
        <v>0</v>
      </c>
      <c r="AA93" s="120">
        <f t="shared" si="68"/>
        <v>0</v>
      </c>
      <c r="AB93" s="120">
        <f t="shared" si="68"/>
        <v>0</v>
      </c>
      <c r="AC93" s="120">
        <f t="shared" si="68"/>
        <v>0</v>
      </c>
      <c r="AD93" s="120">
        <f t="shared" si="68"/>
        <v>0</v>
      </c>
      <c r="AE93" s="120">
        <f t="shared" si="68"/>
        <v>0</v>
      </c>
      <c r="AF93" s="120">
        <f t="shared" si="68"/>
        <v>0</v>
      </c>
      <c r="AG93" s="120">
        <f t="shared" si="68"/>
        <v>0</v>
      </c>
      <c r="AH93" s="120">
        <f t="shared" si="68"/>
        <v>0</v>
      </c>
      <c r="AI93" s="120">
        <f t="shared" si="68"/>
        <v>0</v>
      </c>
      <c r="AJ93" s="120">
        <f t="shared" si="69"/>
        <v>0</v>
      </c>
      <c r="AK93" s="120">
        <f t="shared" si="69"/>
        <v>0</v>
      </c>
      <c r="AL93" s="120">
        <f t="shared" si="69"/>
        <v>0</v>
      </c>
      <c r="AM93" s="120">
        <f t="shared" si="69"/>
        <v>0</v>
      </c>
      <c r="AN93" s="120">
        <f t="shared" si="69"/>
        <v>0</v>
      </c>
      <c r="AO93" s="120">
        <f t="shared" si="69"/>
        <v>0</v>
      </c>
      <c r="AP93" s="120">
        <f t="shared" si="69"/>
        <v>0</v>
      </c>
      <c r="AQ93" s="120">
        <f t="shared" si="69"/>
        <v>0</v>
      </c>
      <c r="AR93" s="120">
        <f t="shared" si="69"/>
        <v>0</v>
      </c>
      <c r="AS93" s="120">
        <f t="shared" si="69"/>
        <v>0.432</v>
      </c>
      <c r="AT93" s="120">
        <f t="shared" si="70"/>
        <v>0.70199999999999996</v>
      </c>
      <c r="AU93" s="120">
        <f t="shared" si="70"/>
        <v>0.65</v>
      </c>
      <c r="AV93" s="120">
        <f t="shared" si="70"/>
        <v>0.24</v>
      </c>
      <c r="AW93" s="120">
        <f t="shared" si="70"/>
        <v>0.3</v>
      </c>
      <c r="AX93" s="120">
        <f t="shared" si="70"/>
        <v>2.3239999999999998</v>
      </c>
      <c r="AY93" s="120">
        <f t="shared" si="70"/>
        <v>2</v>
      </c>
      <c r="AZ93" s="120">
        <f t="shared" si="70"/>
        <v>2.3239999999999998</v>
      </c>
      <c r="BA93" s="120">
        <f t="shared" si="70"/>
        <v>0</v>
      </c>
      <c r="BB93" s="120">
        <f t="shared" si="70"/>
        <v>0</v>
      </c>
      <c r="BC93" s="120">
        <f t="shared" si="70"/>
        <v>0</v>
      </c>
      <c r="BD93" s="120">
        <f t="shared" si="71"/>
        <v>0</v>
      </c>
      <c r="BE93" s="120">
        <f t="shared" si="71"/>
        <v>0</v>
      </c>
      <c r="BF93" s="120">
        <f t="shared" si="71"/>
        <v>0</v>
      </c>
      <c r="BG93" s="120">
        <f t="shared" si="71"/>
        <v>0</v>
      </c>
      <c r="BH93" s="120">
        <f t="shared" si="71"/>
        <v>0</v>
      </c>
      <c r="BI93" s="120">
        <f t="shared" si="71"/>
        <v>0</v>
      </c>
      <c r="BJ93" s="120">
        <f t="shared" si="71"/>
        <v>0</v>
      </c>
      <c r="BK93" s="120">
        <f t="shared" si="71"/>
        <v>0</v>
      </c>
      <c r="BL93" s="120">
        <f t="shared" si="71"/>
        <v>0</v>
      </c>
      <c r="BM93" s="120">
        <f t="shared" si="71"/>
        <v>0</v>
      </c>
      <c r="BN93" s="120">
        <f t="shared" si="71"/>
        <v>0</v>
      </c>
      <c r="BO93" s="120">
        <f t="shared" si="71"/>
        <v>0</v>
      </c>
      <c r="BP93" s="120">
        <f t="shared" si="71"/>
        <v>0</v>
      </c>
      <c r="BR93" s="127">
        <f t="shared" si="72"/>
        <v>0</v>
      </c>
      <c r="BS93" s="127">
        <f t="shared" si="76"/>
        <v>0</v>
      </c>
      <c r="BT93" s="127">
        <f t="shared" si="77"/>
        <v>2.3239999999999998</v>
      </c>
      <c r="BV93" s="107" t="s">
        <v>33</v>
      </c>
      <c r="BW93" s="115">
        <v>9</v>
      </c>
      <c r="BX93" s="115" t="s">
        <v>148</v>
      </c>
      <c r="BY93" s="127">
        <f t="shared" si="73"/>
        <v>0</v>
      </c>
      <c r="BZ93" s="127">
        <f t="shared" si="74"/>
        <v>0</v>
      </c>
      <c r="CA93" s="127">
        <f t="shared" si="75"/>
        <v>8.9130000000000003</v>
      </c>
    </row>
    <row r="94" spans="2:84" ht="25.2" customHeight="1" x14ac:dyDescent="0.3">
      <c r="L94" s="6"/>
      <c r="M94" s="125">
        <v>1</v>
      </c>
      <c r="N94" s="125">
        <v>6</v>
      </c>
      <c r="O94" s="71" t="s">
        <v>20</v>
      </c>
      <c r="P94" s="2">
        <f t="shared" si="67"/>
        <v>0</v>
      </c>
      <c r="Q94" s="2">
        <f t="shared" si="67"/>
        <v>0</v>
      </c>
      <c r="R94" s="2">
        <f t="shared" si="67"/>
        <v>0</v>
      </c>
      <c r="S94" s="2">
        <f t="shared" si="67"/>
        <v>38</v>
      </c>
      <c r="T94" s="2">
        <f t="shared" si="67"/>
        <v>33</v>
      </c>
      <c r="U94" s="2">
        <f t="shared" si="67"/>
        <v>0</v>
      </c>
      <c r="V94" s="2">
        <f t="shared" si="67"/>
        <v>0</v>
      </c>
      <c r="W94" s="2">
        <f t="shared" si="67"/>
        <v>0</v>
      </c>
      <c r="X94" s="2">
        <f t="shared" si="67"/>
        <v>0</v>
      </c>
      <c r="Y94" s="2">
        <f t="shared" si="67"/>
        <v>0</v>
      </c>
      <c r="Z94" s="120">
        <f t="shared" si="68"/>
        <v>0</v>
      </c>
      <c r="AA94" s="120">
        <f t="shared" si="68"/>
        <v>0</v>
      </c>
      <c r="AB94" s="120">
        <f t="shared" si="68"/>
        <v>0</v>
      </c>
      <c r="AC94" s="120">
        <f t="shared" si="68"/>
        <v>0</v>
      </c>
      <c r="AD94" s="120">
        <f t="shared" si="68"/>
        <v>0</v>
      </c>
      <c r="AE94" s="120">
        <f t="shared" si="68"/>
        <v>0</v>
      </c>
      <c r="AF94" s="120">
        <f t="shared" si="68"/>
        <v>0</v>
      </c>
      <c r="AG94" s="120">
        <f t="shared" si="68"/>
        <v>0</v>
      </c>
      <c r="AH94" s="120">
        <f t="shared" si="68"/>
        <v>0</v>
      </c>
      <c r="AI94" s="120">
        <f t="shared" si="68"/>
        <v>0</v>
      </c>
      <c r="AJ94" s="120">
        <f t="shared" si="69"/>
        <v>0</v>
      </c>
      <c r="AK94" s="120">
        <f t="shared" si="69"/>
        <v>0</v>
      </c>
      <c r="AL94" s="120">
        <f t="shared" si="69"/>
        <v>0</v>
      </c>
      <c r="AM94" s="120">
        <f t="shared" si="69"/>
        <v>0</v>
      </c>
      <c r="AN94" s="120">
        <f t="shared" si="69"/>
        <v>0</v>
      </c>
      <c r="AO94" s="120">
        <f t="shared" si="69"/>
        <v>0</v>
      </c>
      <c r="AP94" s="120">
        <f t="shared" si="69"/>
        <v>0</v>
      </c>
      <c r="AQ94" s="120">
        <f t="shared" si="69"/>
        <v>0</v>
      </c>
      <c r="AR94" s="120">
        <f t="shared" si="69"/>
        <v>0</v>
      </c>
      <c r="AS94" s="120">
        <f t="shared" si="69"/>
        <v>0</v>
      </c>
      <c r="AT94" s="120">
        <f t="shared" si="70"/>
        <v>0</v>
      </c>
      <c r="AU94" s="120">
        <f t="shared" si="70"/>
        <v>0</v>
      </c>
      <c r="AV94" s="120">
        <f t="shared" si="70"/>
        <v>3.04</v>
      </c>
      <c r="AW94" s="120">
        <f t="shared" si="70"/>
        <v>3.3</v>
      </c>
      <c r="AX94" s="120">
        <f t="shared" si="70"/>
        <v>6.34</v>
      </c>
      <c r="AY94" s="120">
        <f t="shared" si="70"/>
        <v>1</v>
      </c>
      <c r="AZ94" s="120">
        <f t="shared" si="70"/>
        <v>6.34</v>
      </c>
      <c r="BA94" s="120">
        <f t="shared" si="70"/>
        <v>0</v>
      </c>
      <c r="BB94" s="120">
        <f t="shared" si="70"/>
        <v>0</v>
      </c>
      <c r="BC94" s="120">
        <f t="shared" si="70"/>
        <v>0</v>
      </c>
      <c r="BD94" s="120">
        <f t="shared" si="71"/>
        <v>0</v>
      </c>
      <c r="BE94" s="120">
        <f t="shared" si="71"/>
        <v>0</v>
      </c>
      <c r="BF94" s="120">
        <f t="shared" si="71"/>
        <v>0</v>
      </c>
      <c r="BG94" s="120">
        <f t="shared" si="71"/>
        <v>0</v>
      </c>
      <c r="BH94" s="120">
        <f t="shared" si="71"/>
        <v>0</v>
      </c>
      <c r="BI94" s="120">
        <f t="shared" si="71"/>
        <v>0</v>
      </c>
      <c r="BJ94" s="120">
        <f t="shared" si="71"/>
        <v>0</v>
      </c>
      <c r="BK94" s="120">
        <f t="shared" si="71"/>
        <v>0</v>
      </c>
      <c r="BL94" s="120">
        <f t="shared" si="71"/>
        <v>0</v>
      </c>
      <c r="BM94" s="120">
        <f t="shared" si="71"/>
        <v>0</v>
      </c>
      <c r="BN94" s="120">
        <f t="shared" si="71"/>
        <v>0</v>
      </c>
      <c r="BO94" s="120">
        <f t="shared" si="71"/>
        <v>0</v>
      </c>
      <c r="BP94" s="120">
        <f t="shared" si="71"/>
        <v>0</v>
      </c>
      <c r="BR94" s="127">
        <f t="shared" si="72"/>
        <v>0</v>
      </c>
      <c r="BS94" s="127">
        <f t="shared" si="76"/>
        <v>0</v>
      </c>
      <c r="BT94" s="127">
        <f t="shared" si="77"/>
        <v>6.34</v>
      </c>
      <c r="BV94" s="107" t="s">
        <v>38</v>
      </c>
      <c r="BW94" s="115">
        <v>10</v>
      </c>
      <c r="BX94" s="115" t="s">
        <v>149</v>
      </c>
      <c r="BY94" s="127">
        <f t="shared" si="73"/>
        <v>0</v>
      </c>
      <c r="BZ94" s="127">
        <f t="shared" si="74"/>
        <v>0</v>
      </c>
      <c r="CA94" s="127">
        <f t="shared" si="75"/>
        <v>14.758000000000001</v>
      </c>
    </row>
    <row r="95" spans="2:84" ht="25.2" customHeight="1" x14ac:dyDescent="0.3">
      <c r="L95" s="6"/>
      <c r="M95" s="125">
        <v>1</v>
      </c>
      <c r="N95" s="125">
        <v>5</v>
      </c>
      <c r="O95" s="71" t="s">
        <v>19</v>
      </c>
      <c r="P95" s="2">
        <f t="shared" ref="P95:Y104" si="80">+SUMIF($M$8:$M$77,$O95,P$8:P$77)</f>
        <v>0</v>
      </c>
      <c r="Q95" s="2">
        <f t="shared" si="80"/>
        <v>0</v>
      </c>
      <c r="R95" s="2">
        <f t="shared" si="80"/>
        <v>0</v>
      </c>
      <c r="S95" s="2">
        <f t="shared" si="80"/>
        <v>0</v>
      </c>
      <c r="T95" s="2">
        <f t="shared" si="80"/>
        <v>0</v>
      </c>
      <c r="U95" s="2">
        <f t="shared" si="80"/>
        <v>0</v>
      </c>
      <c r="V95" s="2">
        <f t="shared" si="80"/>
        <v>0</v>
      </c>
      <c r="W95" s="2">
        <f t="shared" si="80"/>
        <v>0</v>
      </c>
      <c r="X95" s="2">
        <f t="shared" si="80"/>
        <v>0</v>
      </c>
      <c r="Y95" s="2">
        <f t="shared" si="80"/>
        <v>0</v>
      </c>
      <c r="Z95" s="120">
        <f t="shared" ref="Z95:AI104" si="81">+SUMIF($M$8:$M$77,$O95,Z$8:Z$77)</f>
        <v>0</v>
      </c>
      <c r="AA95" s="120">
        <f t="shared" si="81"/>
        <v>0</v>
      </c>
      <c r="AB95" s="120">
        <f t="shared" si="81"/>
        <v>0</v>
      </c>
      <c r="AC95" s="120">
        <f t="shared" si="81"/>
        <v>0</v>
      </c>
      <c r="AD95" s="120">
        <f t="shared" si="81"/>
        <v>0</v>
      </c>
      <c r="AE95" s="120">
        <f t="shared" si="81"/>
        <v>0</v>
      </c>
      <c r="AF95" s="120">
        <f t="shared" si="81"/>
        <v>0</v>
      </c>
      <c r="AG95" s="120">
        <f t="shared" si="81"/>
        <v>0</v>
      </c>
      <c r="AH95" s="120">
        <f t="shared" si="81"/>
        <v>0</v>
      </c>
      <c r="AI95" s="120">
        <f t="shared" si="81"/>
        <v>0</v>
      </c>
      <c r="AJ95" s="120">
        <f t="shared" ref="AJ95:AS104" si="82">+SUMIF($M$8:$M$77,$O95,AJ$8:AJ$77)</f>
        <v>0</v>
      </c>
      <c r="AK95" s="120">
        <f t="shared" si="82"/>
        <v>0</v>
      </c>
      <c r="AL95" s="120">
        <f t="shared" si="82"/>
        <v>0</v>
      </c>
      <c r="AM95" s="120">
        <f t="shared" si="82"/>
        <v>0</v>
      </c>
      <c r="AN95" s="120">
        <f t="shared" si="82"/>
        <v>0</v>
      </c>
      <c r="AO95" s="120">
        <f t="shared" si="82"/>
        <v>0</v>
      </c>
      <c r="AP95" s="120">
        <f t="shared" si="82"/>
        <v>0</v>
      </c>
      <c r="AQ95" s="120">
        <f t="shared" si="82"/>
        <v>0</v>
      </c>
      <c r="AR95" s="120">
        <f t="shared" si="82"/>
        <v>0</v>
      </c>
      <c r="AS95" s="120">
        <f t="shared" si="82"/>
        <v>0</v>
      </c>
      <c r="AT95" s="120">
        <f t="shared" ref="AT95:BC104" si="83">+SUMIF($M$8:$M$77,$O95,AT$8:AT$77)</f>
        <v>0</v>
      </c>
      <c r="AU95" s="120">
        <f t="shared" si="83"/>
        <v>0</v>
      </c>
      <c r="AV95" s="120">
        <f t="shared" si="83"/>
        <v>0</v>
      </c>
      <c r="AW95" s="120">
        <f t="shared" si="83"/>
        <v>0</v>
      </c>
      <c r="AX95" s="120">
        <f t="shared" si="83"/>
        <v>0</v>
      </c>
      <c r="AY95" s="120">
        <f t="shared" si="83"/>
        <v>0</v>
      </c>
      <c r="AZ95" s="120">
        <f t="shared" si="83"/>
        <v>0</v>
      </c>
      <c r="BA95" s="120">
        <f t="shared" si="83"/>
        <v>0</v>
      </c>
      <c r="BB95" s="120">
        <f t="shared" si="83"/>
        <v>0</v>
      </c>
      <c r="BC95" s="120">
        <f t="shared" si="83"/>
        <v>0</v>
      </c>
      <c r="BD95" s="120">
        <f t="shared" ref="BD95:BP104" si="84">+SUMIF($M$8:$M$77,$O95,BD$8:BD$77)</f>
        <v>0</v>
      </c>
      <c r="BE95" s="120">
        <f t="shared" si="84"/>
        <v>0</v>
      </c>
      <c r="BF95" s="120">
        <f t="shared" si="84"/>
        <v>0</v>
      </c>
      <c r="BG95" s="120">
        <f t="shared" si="84"/>
        <v>0</v>
      </c>
      <c r="BH95" s="120">
        <f t="shared" si="84"/>
        <v>0</v>
      </c>
      <c r="BI95" s="120">
        <f t="shared" si="84"/>
        <v>0</v>
      </c>
      <c r="BJ95" s="120">
        <f t="shared" si="84"/>
        <v>0</v>
      </c>
      <c r="BK95" s="120">
        <f t="shared" si="84"/>
        <v>0</v>
      </c>
      <c r="BL95" s="120">
        <f t="shared" si="84"/>
        <v>0</v>
      </c>
      <c r="BM95" s="120">
        <f t="shared" si="84"/>
        <v>0</v>
      </c>
      <c r="BN95" s="120">
        <f t="shared" si="84"/>
        <v>0</v>
      </c>
      <c r="BO95" s="120">
        <f t="shared" si="84"/>
        <v>0</v>
      </c>
      <c r="BP95" s="120">
        <f t="shared" si="84"/>
        <v>0</v>
      </c>
      <c r="BR95" s="127">
        <f t="shared" si="72"/>
        <v>0</v>
      </c>
      <c r="BS95" s="127">
        <f t="shared" si="76"/>
        <v>0</v>
      </c>
      <c r="BT95" s="127">
        <f t="shared" si="77"/>
        <v>0</v>
      </c>
      <c r="BV95" s="107" t="s">
        <v>43</v>
      </c>
      <c r="BW95" s="115">
        <v>11</v>
      </c>
      <c r="BX95" s="115" t="s">
        <v>150</v>
      </c>
      <c r="BY95" s="127">
        <f t="shared" si="73"/>
        <v>0</v>
      </c>
      <c r="BZ95" s="127">
        <f t="shared" si="74"/>
        <v>0</v>
      </c>
      <c r="CA95" s="127">
        <f t="shared" si="75"/>
        <v>6.8170000000000002</v>
      </c>
    </row>
    <row r="96" spans="2:84" ht="25.2" customHeight="1" x14ac:dyDescent="0.3">
      <c r="L96" s="6"/>
      <c r="M96" s="125">
        <v>2</v>
      </c>
      <c r="N96" s="125">
        <v>13</v>
      </c>
      <c r="O96" s="71" t="s">
        <v>24</v>
      </c>
      <c r="P96" s="2">
        <f t="shared" si="80"/>
        <v>0</v>
      </c>
      <c r="Q96" s="2">
        <f t="shared" si="80"/>
        <v>0</v>
      </c>
      <c r="R96" s="2">
        <f t="shared" si="80"/>
        <v>0</v>
      </c>
      <c r="S96" s="2">
        <f t="shared" si="80"/>
        <v>50</v>
      </c>
      <c r="T96" s="2">
        <f t="shared" si="80"/>
        <v>10</v>
      </c>
      <c r="U96" s="2">
        <f t="shared" si="80"/>
        <v>0</v>
      </c>
      <c r="V96" s="2">
        <f t="shared" si="80"/>
        <v>0</v>
      </c>
      <c r="W96" s="2">
        <f t="shared" si="80"/>
        <v>0</v>
      </c>
      <c r="X96" s="2">
        <f t="shared" si="80"/>
        <v>0</v>
      </c>
      <c r="Y96" s="2">
        <f t="shared" si="80"/>
        <v>0</v>
      </c>
      <c r="Z96" s="120">
        <f t="shared" si="81"/>
        <v>0</v>
      </c>
      <c r="AA96" s="120">
        <f t="shared" si="81"/>
        <v>0</v>
      </c>
      <c r="AB96" s="120">
        <f t="shared" si="81"/>
        <v>0</v>
      </c>
      <c r="AC96" s="120">
        <f t="shared" si="81"/>
        <v>0</v>
      </c>
      <c r="AD96" s="120">
        <f t="shared" si="81"/>
        <v>0</v>
      </c>
      <c r="AE96" s="120">
        <f t="shared" si="81"/>
        <v>0</v>
      </c>
      <c r="AF96" s="120">
        <f t="shared" si="81"/>
        <v>0</v>
      </c>
      <c r="AG96" s="120">
        <f t="shared" si="81"/>
        <v>0</v>
      </c>
      <c r="AH96" s="120">
        <f t="shared" si="81"/>
        <v>0</v>
      </c>
      <c r="AI96" s="120">
        <f t="shared" si="81"/>
        <v>0</v>
      </c>
      <c r="AJ96" s="120">
        <f t="shared" si="82"/>
        <v>0</v>
      </c>
      <c r="AK96" s="120">
        <f t="shared" si="82"/>
        <v>0</v>
      </c>
      <c r="AL96" s="120">
        <f t="shared" si="82"/>
        <v>0</v>
      </c>
      <c r="AM96" s="120">
        <f t="shared" si="82"/>
        <v>0</v>
      </c>
      <c r="AN96" s="120">
        <f t="shared" si="82"/>
        <v>0</v>
      </c>
      <c r="AO96" s="120">
        <f t="shared" si="82"/>
        <v>0</v>
      </c>
      <c r="AP96" s="120">
        <f t="shared" si="82"/>
        <v>0</v>
      </c>
      <c r="AQ96" s="120">
        <f t="shared" si="82"/>
        <v>0</v>
      </c>
      <c r="AR96" s="120">
        <f t="shared" si="82"/>
        <v>0</v>
      </c>
      <c r="AS96" s="120">
        <f t="shared" si="82"/>
        <v>0</v>
      </c>
      <c r="AT96" s="120">
        <f t="shared" si="83"/>
        <v>0</v>
      </c>
      <c r="AU96" s="120">
        <f t="shared" si="83"/>
        <v>0</v>
      </c>
      <c r="AV96" s="120">
        <f t="shared" si="83"/>
        <v>4</v>
      </c>
      <c r="AW96" s="120">
        <f t="shared" si="83"/>
        <v>1</v>
      </c>
      <c r="AX96" s="120">
        <f t="shared" si="83"/>
        <v>5</v>
      </c>
      <c r="AY96" s="120">
        <f t="shared" si="83"/>
        <v>1</v>
      </c>
      <c r="AZ96" s="120">
        <f t="shared" si="83"/>
        <v>5</v>
      </c>
      <c r="BA96" s="120">
        <f t="shared" si="83"/>
        <v>0</v>
      </c>
      <c r="BB96" s="120">
        <f t="shared" si="83"/>
        <v>0</v>
      </c>
      <c r="BC96" s="120">
        <f t="shared" si="83"/>
        <v>0</v>
      </c>
      <c r="BD96" s="120">
        <f t="shared" si="84"/>
        <v>0</v>
      </c>
      <c r="BE96" s="120">
        <f t="shared" si="84"/>
        <v>0</v>
      </c>
      <c r="BF96" s="120">
        <f t="shared" si="84"/>
        <v>0</v>
      </c>
      <c r="BG96" s="120">
        <f t="shared" si="84"/>
        <v>0</v>
      </c>
      <c r="BH96" s="120">
        <f t="shared" si="84"/>
        <v>0</v>
      </c>
      <c r="BI96" s="120">
        <f t="shared" si="84"/>
        <v>0</v>
      </c>
      <c r="BJ96" s="120">
        <f t="shared" si="84"/>
        <v>0</v>
      </c>
      <c r="BK96" s="120">
        <f t="shared" si="84"/>
        <v>0</v>
      </c>
      <c r="BL96" s="120">
        <f t="shared" si="84"/>
        <v>0</v>
      </c>
      <c r="BM96" s="120">
        <f t="shared" si="84"/>
        <v>0</v>
      </c>
      <c r="BN96" s="120">
        <f t="shared" si="84"/>
        <v>0</v>
      </c>
      <c r="BO96" s="120">
        <f t="shared" si="84"/>
        <v>0</v>
      </c>
      <c r="BP96" s="120">
        <f t="shared" si="84"/>
        <v>0</v>
      </c>
      <c r="BR96" s="127">
        <f t="shared" si="72"/>
        <v>0</v>
      </c>
      <c r="BS96" s="127">
        <f t="shared" si="76"/>
        <v>0</v>
      </c>
      <c r="BT96" s="127">
        <f t="shared" si="77"/>
        <v>5</v>
      </c>
      <c r="BV96" s="107" t="s">
        <v>45</v>
      </c>
      <c r="BW96" s="115">
        <v>12</v>
      </c>
      <c r="BX96" s="115" t="s">
        <v>155</v>
      </c>
      <c r="BY96" s="127">
        <f t="shared" si="73"/>
        <v>0</v>
      </c>
      <c r="BZ96" s="127">
        <f t="shared" si="74"/>
        <v>0</v>
      </c>
      <c r="CA96" s="127">
        <f t="shared" si="75"/>
        <v>6.8550000000000004</v>
      </c>
    </row>
    <row r="97" spans="12:79" ht="25.2" customHeight="1" x14ac:dyDescent="0.3">
      <c r="L97" s="6"/>
      <c r="M97" s="125">
        <v>2</v>
      </c>
      <c r="N97" s="125">
        <v>13</v>
      </c>
      <c r="O97" s="71" t="s">
        <v>15</v>
      </c>
      <c r="P97" s="2">
        <f t="shared" si="80"/>
        <v>2</v>
      </c>
      <c r="Q97" s="2">
        <f t="shared" si="80"/>
        <v>185</v>
      </c>
      <c r="R97" s="2">
        <f t="shared" si="80"/>
        <v>0</v>
      </c>
      <c r="S97" s="2">
        <f t="shared" si="80"/>
        <v>7</v>
      </c>
      <c r="T97" s="2">
        <f t="shared" si="80"/>
        <v>0</v>
      </c>
      <c r="U97" s="2">
        <f t="shared" si="80"/>
        <v>0</v>
      </c>
      <c r="V97" s="2">
        <f t="shared" si="80"/>
        <v>0</v>
      </c>
      <c r="W97" s="2">
        <f t="shared" si="80"/>
        <v>0</v>
      </c>
      <c r="X97" s="2">
        <f t="shared" si="80"/>
        <v>0</v>
      </c>
      <c r="Y97" s="2">
        <f t="shared" si="80"/>
        <v>0</v>
      </c>
      <c r="Z97" s="120">
        <f t="shared" si="81"/>
        <v>0</v>
      </c>
      <c r="AA97" s="120">
        <f t="shared" si="81"/>
        <v>0</v>
      </c>
      <c r="AB97" s="120">
        <f t="shared" si="81"/>
        <v>0</v>
      </c>
      <c r="AC97" s="120">
        <f t="shared" si="81"/>
        <v>0</v>
      </c>
      <c r="AD97" s="120">
        <f t="shared" si="81"/>
        <v>0</v>
      </c>
      <c r="AE97" s="120">
        <f t="shared" si="81"/>
        <v>0</v>
      </c>
      <c r="AF97" s="120">
        <f t="shared" si="81"/>
        <v>0</v>
      </c>
      <c r="AG97" s="120">
        <f t="shared" si="81"/>
        <v>0</v>
      </c>
      <c r="AH97" s="120">
        <f t="shared" si="81"/>
        <v>0</v>
      </c>
      <c r="AI97" s="120">
        <f t="shared" si="81"/>
        <v>0</v>
      </c>
      <c r="AJ97" s="120">
        <f t="shared" si="82"/>
        <v>0</v>
      </c>
      <c r="AK97" s="120">
        <f t="shared" si="82"/>
        <v>0</v>
      </c>
      <c r="AL97" s="120">
        <f t="shared" si="82"/>
        <v>0</v>
      </c>
      <c r="AM97" s="120">
        <f t="shared" si="82"/>
        <v>0</v>
      </c>
      <c r="AN97" s="120">
        <f t="shared" si="82"/>
        <v>0</v>
      </c>
      <c r="AO97" s="120">
        <f t="shared" si="82"/>
        <v>0</v>
      </c>
      <c r="AP97" s="120">
        <f t="shared" si="82"/>
        <v>0</v>
      </c>
      <c r="AQ97" s="120">
        <f t="shared" si="82"/>
        <v>0</v>
      </c>
      <c r="AR97" s="120">
        <f t="shared" si="82"/>
        <v>0</v>
      </c>
      <c r="AS97" s="120">
        <f t="shared" si="82"/>
        <v>0.108</v>
      </c>
      <c r="AT97" s="120">
        <f t="shared" si="83"/>
        <v>9.99</v>
      </c>
      <c r="AU97" s="120">
        <f t="shared" si="83"/>
        <v>0</v>
      </c>
      <c r="AV97" s="120">
        <f t="shared" si="83"/>
        <v>0.56000000000000005</v>
      </c>
      <c r="AW97" s="120">
        <f t="shared" si="83"/>
        <v>0</v>
      </c>
      <c r="AX97" s="120">
        <f t="shared" si="83"/>
        <v>10.658000000000001</v>
      </c>
      <c r="AY97" s="120">
        <f t="shared" si="83"/>
        <v>3</v>
      </c>
      <c r="AZ97" s="120">
        <f t="shared" si="83"/>
        <v>10.658000000000001</v>
      </c>
      <c r="BA97" s="120">
        <f t="shared" si="83"/>
        <v>0</v>
      </c>
      <c r="BB97" s="120">
        <f t="shared" si="83"/>
        <v>0</v>
      </c>
      <c r="BC97" s="120">
        <f t="shared" si="83"/>
        <v>0</v>
      </c>
      <c r="BD97" s="120">
        <f t="shared" si="84"/>
        <v>0</v>
      </c>
      <c r="BE97" s="120">
        <f t="shared" si="84"/>
        <v>0</v>
      </c>
      <c r="BF97" s="120">
        <f t="shared" si="84"/>
        <v>0</v>
      </c>
      <c r="BG97" s="120">
        <f t="shared" si="84"/>
        <v>0</v>
      </c>
      <c r="BH97" s="120">
        <f t="shared" si="84"/>
        <v>0</v>
      </c>
      <c r="BI97" s="120">
        <f t="shared" si="84"/>
        <v>0</v>
      </c>
      <c r="BJ97" s="120">
        <f t="shared" si="84"/>
        <v>0</v>
      </c>
      <c r="BK97" s="120">
        <f t="shared" si="84"/>
        <v>0</v>
      </c>
      <c r="BL97" s="120">
        <f t="shared" si="84"/>
        <v>0</v>
      </c>
      <c r="BM97" s="120">
        <f t="shared" si="84"/>
        <v>0</v>
      </c>
      <c r="BN97" s="120">
        <f t="shared" si="84"/>
        <v>0</v>
      </c>
      <c r="BO97" s="120">
        <f t="shared" si="84"/>
        <v>0</v>
      </c>
      <c r="BP97" s="120">
        <f t="shared" si="84"/>
        <v>0</v>
      </c>
      <c r="BR97" s="127">
        <f t="shared" si="72"/>
        <v>0</v>
      </c>
      <c r="BS97" s="127">
        <f t="shared" si="76"/>
        <v>0</v>
      </c>
      <c r="BT97" s="127">
        <f t="shared" si="77"/>
        <v>10.658000000000001</v>
      </c>
      <c r="BV97" s="107" t="s">
        <v>151</v>
      </c>
      <c r="BW97" s="115">
        <v>13</v>
      </c>
      <c r="BX97" s="115" t="s">
        <v>152</v>
      </c>
      <c r="BY97" s="127">
        <f t="shared" si="73"/>
        <v>0</v>
      </c>
      <c r="BZ97" s="127">
        <f t="shared" si="74"/>
        <v>0</v>
      </c>
      <c r="CA97" s="127">
        <f t="shared" si="75"/>
        <v>29.567000000000004</v>
      </c>
    </row>
    <row r="98" spans="12:79" ht="25.2" customHeight="1" x14ac:dyDescent="0.3">
      <c r="L98" s="6"/>
      <c r="M98" s="125">
        <v>2</v>
      </c>
      <c r="N98" s="125">
        <v>13</v>
      </c>
      <c r="O98" s="71" t="s">
        <v>0</v>
      </c>
      <c r="P98" s="2">
        <f t="shared" si="80"/>
        <v>26</v>
      </c>
      <c r="Q98" s="2">
        <f t="shared" si="80"/>
        <v>145</v>
      </c>
      <c r="R98" s="2">
        <f t="shared" si="80"/>
        <v>0</v>
      </c>
      <c r="S98" s="2">
        <f t="shared" si="80"/>
        <v>0</v>
      </c>
      <c r="T98" s="2">
        <f t="shared" si="80"/>
        <v>0</v>
      </c>
      <c r="U98" s="2">
        <f t="shared" si="80"/>
        <v>0</v>
      </c>
      <c r="V98" s="2">
        <f t="shared" si="80"/>
        <v>0</v>
      </c>
      <c r="W98" s="2">
        <f t="shared" si="80"/>
        <v>0</v>
      </c>
      <c r="X98" s="2">
        <f t="shared" si="80"/>
        <v>0</v>
      </c>
      <c r="Y98" s="2">
        <f t="shared" si="80"/>
        <v>0</v>
      </c>
      <c r="Z98" s="120">
        <f t="shared" si="81"/>
        <v>0</v>
      </c>
      <c r="AA98" s="120">
        <f t="shared" si="81"/>
        <v>0</v>
      </c>
      <c r="AB98" s="120">
        <f t="shared" si="81"/>
        <v>0</v>
      </c>
      <c r="AC98" s="120">
        <f t="shared" si="81"/>
        <v>0</v>
      </c>
      <c r="AD98" s="120">
        <f t="shared" si="81"/>
        <v>0</v>
      </c>
      <c r="AE98" s="120">
        <f t="shared" si="81"/>
        <v>0</v>
      </c>
      <c r="AF98" s="120">
        <f t="shared" si="81"/>
        <v>0</v>
      </c>
      <c r="AG98" s="120">
        <f t="shared" si="81"/>
        <v>0</v>
      </c>
      <c r="AH98" s="120">
        <f t="shared" si="81"/>
        <v>0</v>
      </c>
      <c r="AI98" s="120">
        <f t="shared" si="81"/>
        <v>0</v>
      </c>
      <c r="AJ98" s="120">
        <f t="shared" si="82"/>
        <v>0</v>
      </c>
      <c r="AK98" s="120">
        <f t="shared" si="82"/>
        <v>0</v>
      </c>
      <c r="AL98" s="120">
        <f t="shared" si="82"/>
        <v>0</v>
      </c>
      <c r="AM98" s="120">
        <f t="shared" si="82"/>
        <v>0</v>
      </c>
      <c r="AN98" s="120">
        <f t="shared" si="82"/>
        <v>0</v>
      </c>
      <c r="AO98" s="120">
        <f t="shared" si="82"/>
        <v>0</v>
      </c>
      <c r="AP98" s="120">
        <f t="shared" si="82"/>
        <v>0</v>
      </c>
      <c r="AQ98" s="120">
        <f t="shared" si="82"/>
        <v>0</v>
      </c>
      <c r="AR98" s="120">
        <f t="shared" si="82"/>
        <v>0</v>
      </c>
      <c r="AS98" s="120">
        <f t="shared" si="82"/>
        <v>1.4039999999999999</v>
      </c>
      <c r="AT98" s="120">
        <f t="shared" si="83"/>
        <v>7.83</v>
      </c>
      <c r="AU98" s="120">
        <f t="shared" si="83"/>
        <v>0</v>
      </c>
      <c r="AV98" s="120">
        <f t="shared" si="83"/>
        <v>0</v>
      </c>
      <c r="AW98" s="120">
        <f t="shared" si="83"/>
        <v>0</v>
      </c>
      <c r="AX98" s="120">
        <f t="shared" si="83"/>
        <v>9.234</v>
      </c>
      <c r="AY98" s="120">
        <f t="shared" si="83"/>
        <v>1</v>
      </c>
      <c r="AZ98" s="120">
        <f t="shared" si="83"/>
        <v>9.234</v>
      </c>
      <c r="BA98" s="120">
        <f t="shared" si="83"/>
        <v>0</v>
      </c>
      <c r="BB98" s="120">
        <f t="shared" si="83"/>
        <v>0</v>
      </c>
      <c r="BC98" s="120">
        <f t="shared" si="83"/>
        <v>0</v>
      </c>
      <c r="BD98" s="120">
        <f t="shared" si="84"/>
        <v>0</v>
      </c>
      <c r="BE98" s="120">
        <f t="shared" si="84"/>
        <v>0</v>
      </c>
      <c r="BF98" s="120">
        <f t="shared" si="84"/>
        <v>0</v>
      </c>
      <c r="BG98" s="120">
        <f t="shared" si="84"/>
        <v>0</v>
      </c>
      <c r="BH98" s="120">
        <f t="shared" si="84"/>
        <v>0</v>
      </c>
      <c r="BI98" s="120">
        <f t="shared" si="84"/>
        <v>0</v>
      </c>
      <c r="BJ98" s="120">
        <f t="shared" si="84"/>
        <v>0</v>
      </c>
      <c r="BK98" s="120">
        <f t="shared" si="84"/>
        <v>0</v>
      </c>
      <c r="BL98" s="120">
        <f t="shared" si="84"/>
        <v>0</v>
      </c>
      <c r="BM98" s="120">
        <f t="shared" si="84"/>
        <v>0</v>
      </c>
      <c r="BN98" s="120">
        <f t="shared" si="84"/>
        <v>0</v>
      </c>
      <c r="BO98" s="120">
        <f t="shared" si="84"/>
        <v>0</v>
      </c>
      <c r="BP98" s="120">
        <f t="shared" si="84"/>
        <v>0</v>
      </c>
      <c r="BR98" s="127">
        <f t="shared" si="72"/>
        <v>0</v>
      </c>
      <c r="BS98" s="127">
        <f t="shared" si="76"/>
        <v>0</v>
      </c>
      <c r="BT98" s="127">
        <f t="shared" si="77"/>
        <v>9.234</v>
      </c>
      <c r="BY98" s="127">
        <f t="shared" ref="BY98:BY120" si="85">+SUMIF($N$85:$N$120,$CB98,BR$85:BR$120)</f>
        <v>0</v>
      </c>
      <c r="BZ98" s="127">
        <f t="shared" ref="BZ98:BZ120" si="86">+SUMIF($N$85:$N$120,$CB98,BS$85:BS$120)</f>
        <v>0</v>
      </c>
      <c r="CA98" s="127">
        <f t="shared" ref="CA98:CA120" si="87">+SUMIF($N$85:$N$120,$CB98,BT$85:BT$120)</f>
        <v>0</v>
      </c>
    </row>
    <row r="99" spans="12:79" ht="25.2" customHeight="1" x14ac:dyDescent="0.3">
      <c r="L99" s="6"/>
      <c r="M99" s="125">
        <v>2</v>
      </c>
      <c r="N99" s="125">
        <v>13</v>
      </c>
      <c r="O99" s="71" t="s">
        <v>18</v>
      </c>
      <c r="P99" s="2">
        <f t="shared" si="80"/>
        <v>0</v>
      </c>
      <c r="Q99" s="2">
        <f t="shared" si="80"/>
        <v>0</v>
      </c>
      <c r="R99" s="2">
        <f t="shared" si="80"/>
        <v>35</v>
      </c>
      <c r="S99" s="2">
        <f t="shared" si="80"/>
        <v>30</v>
      </c>
      <c r="T99" s="2">
        <f t="shared" si="80"/>
        <v>0</v>
      </c>
      <c r="U99" s="2">
        <f t="shared" si="80"/>
        <v>0</v>
      </c>
      <c r="V99" s="2">
        <f t="shared" si="80"/>
        <v>0</v>
      </c>
      <c r="W99" s="2">
        <f t="shared" si="80"/>
        <v>0</v>
      </c>
      <c r="X99" s="2">
        <f t="shared" si="80"/>
        <v>0</v>
      </c>
      <c r="Y99" s="2">
        <f t="shared" si="80"/>
        <v>0</v>
      </c>
      <c r="Z99" s="120">
        <f t="shared" si="81"/>
        <v>0</v>
      </c>
      <c r="AA99" s="120">
        <f t="shared" si="81"/>
        <v>0</v>
      </c>
      <c r="AB99" s="120">
        <f t="shared" si="81"/>
        <v>0</v>
      </c>
      <c r="AC99" s="120">
        <f t="shared" si="81"/>
        <v>0</v>
      </c>
      <c r="AD99" s="120">
        <f t="shared" si="81"/>
        <v>0</v>
      </c>
      <c r="AE99" s="120">
        <f t="shared" si="81"/>
        <v>0</v>
      </c>
      <c r="AF99" s="120">
        <f t="shared" si="81"/>
        <v>0</v>
      </c>
      <c r="AG99" s="120">
        <f t="shared" si="81"/>
        <v>0</v>
      </c>
      <c r="AH99" s="120">
        <f t="shared" si="81"/>
        <v>0</v>
      </c>
      <c r="AI99" s="120">
        <f t="shared" si="81"/>
        <v>0</v>
      </c>
      <c r="AJ99" s="120">
        <f t="shared" si="82"/>
        <v>0</v>
      </c>
      <c r="AK99" s="120">
        <f t="shared" si="82"/>
        <v>0</v>
      </c>
      <c r="AL99" s="120">
        <f t="shared" si="82"/>
        <v>0</v>
      </c>
      <c r="AM99" s="120">
        <f t="shared" si="82"/>
        <v>0</v>
      </c>
      <c r="AN99" s="120">
        <f t="shared" si="82"/>
        <v>0</v>
      </c>
      <c r="AO99" s="120">
        <f t="shared" si="82"/>
        <v>0</v>
      </c>
      <c r="AP99" s="120">
        <f t="shared" si="82"/>
        <v>0</v>
      </c>
      <c r="AQ99" s="120">
        <f t="shared" si="82"/>
        <v>0</v>
      </c>
      <c r="AR99" s="120">
        <f t="shared" si="82"/>
        <v>0</v>
      </c>
      <c r="AS99" s="120">
        <f t="shared" si="82"/>
        <v>0</v>
      </c>
      <c r="AT99" s="120">
        <f t="shared" si="83"/>
        <v>0</v>
      </c>
      <c r="AU99" s="120">
        <f t="shared" si="83"/>
        <v>2.2749999999999999</v>
      </c>
      <c r="AV99" s="120">
        <f t="shared" si="83"/>
        <v>2.4</v>
      </c>
      <c r="AW99" s="120">
        <f t="shared" si="83"/>
        <v>0</v>
      </c>
      <c r="AX99" s="120">
        <f t="shared" si="83"/>
        <v>4.6749999999999998</v>
      </c>
      <c r="AY99" s="120">
        <f t="shared" si="83"/>
        <v>2</v>
      </c>
      <c r="AZ99" s="120">
        <f t="shared" si="83"/>
        <v>4.6749999999999998</v>
      </c>
      <c r="BA99" s="120">
        <f t="shared" si="83"/>
        <v>0</v>
      </c>
      <c r="BB99" s="120">
        <f t="shared" si="83"/>
        <v>0</v>
      </c>
      <c r="BC99" s="120">
        <f t="shared" si="83"/>
        <v>0</v>
      </c>
      <c r="BD99" s="120">
        <f t="shared" si="84"/>
        <v>0</v>
      </c>
      <c r="BE99" s="120">
        <f t="shared" si="84"/>
        <v>0</v>
      </c>
      <c r="BF99" s="120">
        <f t="shared" si="84"/>
        <v>0</v>
      </c>
      <c r="BG99" s="120">
        <f t="shared" si="84"/>
        <v>0</v>
      </c>
      <c r="BH99" s="120">
        <f t="shared" si="84"/>
        <v>0</v>
      </c>
      <c r="BI99" s="120">
        <f t="shared" si="84"/>
        <v>0</v>
      </c>
      <c r="BJ99" s="120">
        <f t="shared" si="84"/>
        <v>0</v>
      </c>
      <c r="BK99" s="120">
        <f t="shared" si="84"/>
        <v>0</v>
      </c>
      <c r="BL99" s="120">
        <f t="shared" si="84"/>
        <v>0</v>
      </c>
      <c r="BM99" s="120">
        <f t="shared" si="84"/>
        <v>0</v>
      </c>
      <c r="BN99" s="120">
        <f t="shared" si="84"/>
        <v>0</v>
      </c>
      <c r="BO99" s="120">
        <f t="shared" si="84"/>
        <v>0</v>
      </c>
      <c r="BP99" s="120">
        <f t="shared" si="84"/>
        <v>0</v>
      </c>
      <c r="BR99" s="127">
        <f t="shared" si="72"/>
        <v>0</v>
      </c>
      <c r="BS99" s="127">
        <f t="shared" si="76"/>
        <v>0</v>
      </c>
      <c r="BT99" s="127">
        <f t="shared" si="77"/>
        <v>4.6749999999999998</v>
      </c>
      <c r="BY99" s="127">
        <f t="shared" si="85"/>
        <v>0</v>
      </c>
      <c r="BZ99" s="127">
        <f t="shared" si="86"/>
        <v>0</v>
      </c>
      <c r="CA99" s="127">
        <f t="shared" si="87"/>
        <v>0</v>
      </c>
    </row>
    <row r="100" spans="12:79" ht="25.2" customHeight="1" x14ac:dyDescent="0.3">
      <c r="L100" s="6"/>
      <c r="M100" s="125">
        <v>2</v>
      </c>
      <c r="N100" s="125">
        <v>10</v>
      </c>
      <c r="O100" s="71" t="s">
        <v>38</v>
      </c>
      <c r="P100" s="2">
        <f t="shared" si="80"/>
        <v>5</v>
      </c>
      <c r="Q100" s="2">
        <f t="shared" si="80"/>
        <v>150</v>
      </c>
      <c r="R100" s="2">
        <f t="shared" si="80"/>
        <v>10</v>
      </c>
      <c r="S100" s="2">
        <f t="shared" si="80"/>
        <v>22</v>
      </c>
      <c r="T100" s="2">
        <f t="shared" si="80"/>
        <v>0</v>
      </c>
      <c r="U100" s="2">
        <f t="shared" si="80"/>
        <v>0</v>
      </c>
      <c r="V100" s="2">
        <f t="shared" si="80"/>
        <v>0</v>
      </c>
      <c r="W100" s="2">
        <f t="shared" si="80"/>
        <v>0</v>
      </c>
      <c r="X100" s="2">
        <f t="shared" si="80"/>
        <v>0</v>
      </c>
      <c r="Y100" s="2">
        <f t="shared" si="80"/>
        <v>0</v>
      </c>
      <c r="Z100" s="120">
        <f t="shared" si="81"/>
        <v>0</v>
      </c>
      <c r="AA100" s="120">
        <f t="shared" si="81"/>
        <v>0</v>
      </c>
      <c r="AB100" s="120">
        <f t="shared" si="81"/>
        <v>0</v>
      </c>
      <c r="AC100" s="120">
        <f t="shared" si="81"/>
        <v>0</v>
      </c>
      <c r="AD100" s="120">
        <f t="shared" si="81"/>
        <v>0</v>
      </c>
      <c r="AE100" s="120">
        <f t="shared" si="81"/>
        <v>0</v>
      </c>
      <c r="AF100" s="120">
        <f t="shared" si="81"/>
        <v>0</v>
      </c>
      <c r="AG100" s="120">
        <f t="shared" si="81"/>
        <v>0</v>
      </c>
      <c r="AH100" s="120">
        <f t="shared" si="81"/>
        <v>0</v>
      </c>
      <c r="AI100" s="120">
        <f t="shared" si="81"/>
        <v>0</v>
      </c>
      <c r="AJ100" s="120">
        <f t="shared" si="82"/>
        <v>0</v>
      </c>
      <c r="AK100" s="120">
        <f t="shared" si="82"/>
        <v>0</v>
      </c>
      <c r="AL100" s="120">
        <f t="shared" si="82"/>
        <v>0</v>
      </c>
      <c r="AM100" s="120">
        <f t="shared" si="82"/>
        <v>0</v>
      </c>
      <c r="AN100" s="120">
        <f t="shared" si="82"/>
        <v>0</v>
      </c>
      <c r="AO100" s="120">
        <f t="shared" si="82"/>
        <v>0</v>
      </c>
      <c r="AP100" s="120">
        <f t="shared" si="82"/>
        <v>0</v>
      </c>
      <c r="AQ100" s="120">
        <f t="shared" si="82"/>
        <v>0</v>
      </c>
      <c r="AR100" s="120">
        <f t="shared" si="82"/>
        <v>0</v>
      </c>
      <c r="AS100" s="120">
        <f t="shared" si="82"/>
        <v>0.27</v>
      </c>
      <c r="AT100" s="120">
        <f t="shared" si="83"/>
        <v>8.1</v>
      </c>
      <c r="AU100" s="120">
        <f t="shared" si="83"/>
        <v>0.65</v>
      </c>
      <c r="AV100" s="120">
        <f t="shared" si="83"/>
        <v>1.76</v>
      </c>
      <c r="AW100" s="120">
        <f t="shared" si="83"/>
        <v>0</v>
      </c>
      <c r="AX100" s="120">
        <f t="shared" si="83"/>
        <v>10.780000000000001</v>
      </c>
      <c r="AY100" s="120">
        <f t="shared" si="83"/>
        <v>4</v>
      </c>
      <c r="AZ100" s="120">
        <f t="shared" si="83"/>
        <v>10.780000000000001</v>
      </c>
      <c r="BA100" s="120">
        <f t="shared" si="83"/>
        <v>0</v>
      </c>
      <c r="BB100" s="120">
        <f t="shared" si="83"/>
        <v>0</v>
      </c>
      <c r="BC100" s="120">
        <f t="shared" si="83"/>
        <v>0</v>
      </c>
      <c r="BD100" s="120">
        <f t="shared" si="84"/>
        <v>0</v>
      </c>
      <c r="BE100" s="120">
        <f t="shared" si="84"/>
        <v>0</v>
      </c>
      <c r="BF100" s="120">
        <f t="shared" si="84"/>
        <v>0</v>
      </c>
      <c r="BG100" s="120">
        <f t="shared" si="84"/>
        <v>0</v>
      </c>
      <c r="BH100" s="120">
        <f t="shared" si="84"/>
        <v>0</v>
      </c>
      <c r="BI100" s="120">
        <f t="shared" si="84"/>
        <v>0</v>
      </c>
      <c r="BJ100" s="120">
        <f t="shared" si="84"/>
        <v>0</v>
      </c>
      <c r="BK100" s="120">
        <f t="shared" si="84"/>
        <v>0</v>
      </c>
      <c r="BL100" s="120">
        <f t="shared" si="84"/>
        <v>0</v>
      </c>
      <c r="BM100" s="120">
        <f t="shared" si="84"/>
        <v>0</v>
      </c>
      <c r="BN100" s="120">
        <f t="shared" si="84"/>
        <v>0</v>
      </c>
      <c r="BO100" s="120">
        <f t="shared" si="84"/>
        <v>0</v>
      </c>
      <c r="BP100" s="120">
        <f t="shared" si="84"/>
        <v>0</v>
      </c>
      <c r="BR100" s="127">
        <f t="shared" si="72"/>
        <v>0</v>
      </c>
      <c r="BS100" s="127">
        <f t="shared" si="76"/>
        <v>0</v>
      </c>
      <c r="BT100" s="127">
        <f t="shared" si="77"/>
        <v>10.780000000000001</v>
      </c>
      <c r="BY100" s="127">
        <f t="shared" si="85"/>
        <v>0</v>
      </c>
      <c r="BZ100" s="127">
        <f t="shared" si="86"/>
        <v>0</v>
      </c>
      <c r="CA100" s="127">
        <f t="shared" si="87"/>
        <v>0</v>
      </c>
    </row>
    <row r="101" spans="12:79" ht="25.2" customHeight="1" x14ac:dyDescent="0.3">
      <c r="L101" s="6"/>
      <c r="M101" s="125">
        <v>2</v>
      </c>
      <c r="N101" s="125">
        <v>10</v>
      </c>
      <c r="O101" s="71" t="s">
        <v>41</v>
      </c>
      <c r="P101" s="2">
        <f t="shared" si="80"/>
        <v>1</v>
      </c>
      <c r="Q101" s="2">
        <f t="shared" si="80"/>
        <v>51</v>
      </c>
      <c r="R101" s="2">
        <f t="shared" si="80"/>
        <v>18</v>
      </c>
      <c r="S101" s="2">
        <f t="shared" si="80"/>
        <v>0</v>
      </c>
      <c r="T101" s="2">
        <f t="shared" si="80"/>
        <v>0</v>
      </c>
      <c r="U101" s="2">
        <f t="shared" si="80"/>
        <v>0</v>
      </c>
      <c r="V101" s="2">
        <f t="shared" si="80"/>
        <v>0</v>
      </c>
      <c r="W101" s="2">
        <f t="shared" si="80"/>
        <v>0</v>
      </c>
      <c r="X101" s="2">
        <f t="shared" si="80"/>
        <v>0</v>
      </c>
      <c r="Y101" s="2">
        <f t="shared" si="80"/>
        <v>0</v>
      </c>
      <c r="Z101" s="120">
        <f t="shared" si="81"/>
        <v>0</v>
      </c>
      <c r="AA101" s="120">
        <f t="shared" si="81"/>
        <v>0</v>
      </c>
      <c r="AB101" s="120">
        <f t="shared" si="81"/>
        <v>0</v>
      </c>
      <c r="AC101" s="120">
        <f t="shared" si="81"/>
        <v>0</v>
      </c>
      <c r="AD101" s="120">
        <f t="shared" si="81"/>
        <v>0</v>
      </c>
      <c r="AE101" s="120">
        <f t="shared" si="81"/>
        <v>0</v>
      </c>
      <c r="AF101" s="120">
        <f t="shared" si="81"/>
        <v>0</v>
      </c>
      <c r="AG101" s="120">
        <f t="shared" si="81"/>
        <v>0</v>
      </c>
      <c r="AH101" s="120">
        <f t="shared" si="81"/>
        <v>0</v>
      </c>
      <c r="AI101" s="120">
        <f t="shared" si="81"/>
        <v>0</v>
      </c>
      <c r="AJ101" s="120">
        <f t="shared" si="82"/>
        <v>0</v>
      </c>
      <c r="AK101" s="120">
        <f t="shared" si="82"/>
        <v>0</v>
      </c>
      <c r="AL101" s="120">
        <f t="shared" si="82"/>
        <v>0</v>
      </c>
      <c r="AM101" s="120">
        <f t="shared" si="82"/>
        <v>0</v>
      </c>
      <c r="AN101" s="120">
        <f t="shared" si="82"/>
        <v>0</v>
      </c>
      <c r="AO101" s="120">
        <f t="shared" si="82"/>
        <v>0</v>
      </c>
      <c r="AP101" s="120">
        <f t="shared" si="82"/>
        <v>0</v>
      </c>
      <c r="AQ101" s="120">
        <f t="shared" si="82"/>
        <v>0</v>
      </c>
      <c r="AR101" s="120">
        <f t="shared" si="82"/>
        <v>0</v>
      </c>
      <c r="AS101" s="120">
        <f t="shared" si="82"/>
        <v>5.3999999999999999E-2</v>
      </c>
      <c r="AT101" s="120">
        <f t="shared" si="83"/>
        <v>2.754</v>
      </c>
      <c r="AU101" s="120">
        <f t="shared" si="83"/>
        <v>1.17</v>
      </c>
      <c r="AV101" s="120">
        <f t="shared" si="83"/>
        <v>0</v>
      </c>
      <c r="AW101" s="120">
        <f t="shared" si="83"/>
        <v>0</v>
      </c>
      <c r="AX101" s="120">
        <f t="shared" si="83"/>
        <v>3.9779999999999998</v>
      </c>
      <c r="AY101" s="120">
        <f t="shared" si="83"/>
        <v>3</v>
      </c>
      <c r="AZ101" s="120">
        <f t="shared" si="83"/>
        <v>3.9780000000000002</v>
      </c>
      <c r="BA101" s="120">
        <f t="shared" si="83"/>
        <v>0</v>
      </c>
      <c r="BB101" s="120">
        <f t="shared" si="83"/>
        <v>0</v>
      </c>
      <c r="BC101" s="120">
        <f t="shared" si="83"/>
        <v>0</v>
      </c>
      <c r="BD101" s="120">
        <f t="shared" si="84"/>
        <v>0</v>
      </c>
      <c r="BE101" s="120">
        <f t="shared" si="84"/>
        <v>0</v>
      </c>
      <c r="BF101" s="120">
        <f t="shared" si="84"/>
        <v>0</v>
      </c>
      <c r="BG101" s="120">
        <f t="shared" si="84"/>
        <v>0</v>
      </c>
      <c r="BH101" s="120">
        <f t="shared" si="84"/>
        <v>0</v>
      </c>
      <c r="BI101" s="120">
        <f t="shared" si="84"/>
        <v>0</v>
      </c>
      <c r="BJ101" s="120">
        <f t="shared" si="84"/>
        <v>0</v>
      </c>
      <c r="BK101" s="120">
        <f t="shared" si="84"/>
        <v>0</v>
      </c>
      <c r="BL101" s="120">
        <f t="shared" si="84"/>
        <v>0</v>
      </c>
      <c r="BM101" s="120">
        <f t="shared" si="84"/>
        <v>0</v>
      </c>
      <c r="BN101" s="120">
        <f t="shared" si="84"/>
        <v>0</v>
      </c>
      <c r="BO101" s="120">
        <f t="shared" si="84"/>
        <v>0</v>
      </c>
      <c r="BP101" s="120">
        <f t="shared" si="84"/>
        <v>0</v>
      </c>
      <c r="BR101" s="127">
        <f t="shared" si="72"/>
        <v>0</v>
      </c>
      <c r="BS101" s="127">
        <f t="shared" si="76"/>
        <v>0</v>
      </c>
      <c r="BT101" s="127">
        <f t="shared" si="77"/>
        <v>3.9779999999999998</v>
      </c>
      <c r="BY101" s="127">
        <f t="shared" si="85"/>
        <v>0</v>
      </c>
      <c r="BZ101" s="127">
        <f t="shared" si="86"/>
        <v>0</v>
      </c>
      <c r="CA101" s="127">
        <f t="shared" si="87"/>
        <v>0</v>
      </c>
    </row>
    <row r="102" spans="12:79" ht="25.2" customHeight="1" x14ac:dyDescent="0.3">
      <c r="L102" s="6"/>
      <c r="M102" s="125">
        <v>2</v>
      </c>
      <c r="N102" s="125">
        <v>11</v>
      </c>
      <c r="O102" s="71" t="s">
        <v>43</v>
      </c>
      <c r="P102" s="2">
        <f t="shared" si="80"/>
        <v>38</v>
      </c>
      <c r="Q102" s="2">
        <f t="shared" si="80"/>
        <v>10</v>
      </c>
      <c r="R102" s="2">
        <f t="shared" si="80"/>
        <v>5</v>
      </c>
      <c r="S102" s="2">
        <f t="shared" si="80"/>
        <v>0</v>
      </c>
      <c r="T102" s="2">
        <f t="shared" si="80"/>
        <v>39</v>
      </c>
      <c r="U102" s="2">
        <f t="shared" si="80"/>
        <v>0</v>
      </c>
      <c r="V102" s="2">
        <f t="shared" si="80"/>
        <v>0</v>
      </c>
      <c r="W102" s="2">
        <f t="shared" si="80"/>
        <v>0</v>
      </c>
      <c r="X102" s="2">
        <f t="shared" si="80"/>
        <v>0</v>
      </c>
      <c r="Y102" s="2">
        <f t="shared" si="80"/>
        <v>0</v>
      </c>
      <c r="Z102" s="120">
        <f t="shared" si="81"/>
        <v>0</v>
      </c>
      <c r="AA102" s="120">
        <f t="shared" si="81"/>
        <v>0</v>
      </c>
      <c r="AB102" s="120">
        <f t="shared" si="81"/>
        <v>0</v>
      </c>
      <c r="AC102" s="120">
        <f t="shared" si="81"/>
        <v>0</v>
      </c>
      <c r="AD102" s="120">
        <f t="shared" si="81"/>
        <v>0</v>
      </c>
      <c r="AE102" s="120">
        <f t="shared" si="81"/>
        <v>0</v>
      </c>
      <c r="AF102" s="120">
        <f t="shared" si="81"/>
        <v>0</v>
      </c>
      <c r="AG102" s="120">
        <f t="shared" si="81"/>
        <v>0</v>
      </c>
      <c r="AH102" s="120">
        <f t="shared" si="81"/>
        <v>0</v>
      </c>
      <c r="AI102" s="120">
        <f t="shared" si="81"/>
        <v>0</v>
      </c>
      <c r="AJ102" s="120">
        <f t="shared" si="82"/>
        <v>0</v>
      </c>
      <c r="AK102" s="120">
        <f t="shared" si="82"/>
        <v>0</v>
      </c>
      <c r="AL102" s="120">
        <f t="shared" si="82"/>
        <v>0</v>
      </c>
      <c r="AM102" s="120">
        <f t="shared" si="82"/>
        <v>0</v>
      </c>
      <c r="AN102" s="120">
        <f t="shared" si="82"/>
        <v>0</v>
      </c>
      <c r="AO102" s="120">
        <f t="shared" si="82"/>
        <v>0</v>
      </c>
      <c r="AP102" s="120">
        <f t="shared" si="82"/>
        <v>0</v>
      </c>
      <c r="AQ102" s="120">
        <f t="shared" si="82"/>
        <v>0</v>
      </c>
      <c r="AR102" s="120">
        <f t="shared" si="82"/>
        <v>0</v>
      </c>
      <c r="AS102" s="120">
        <f t="shared" si="82"/>
        <v>2.052</v>
      </c>
      <c r="AT102" s="120">
        <f t="shared" si="83"/>
        <v>0.54</v>
      </c>
      <c r="AU102" s="120">
        <f t="shared" si="83"/>
        <v>0.32500000000000001</v>
      </c>
      <c r="AV102" s="120">
        <f t="shared" si="83"/>
        <v>0</v>
      </c>
      <c r="AW102" s="120">
        <f t="shared" si="83"/>
        <v>3.9</v>
      </c>
      <c r="AX102" s="120">
        <f t="shared" si="83"/>
        <v>6.8170000000000002</v>
      </c>
      <c r="AY102" s="120">
        <f t="shared" si="83"/>
        <v>2</v>
      </c>
      <c r="AZ102" s="120">
        <f t="shared" si="83"/>
        <v>6.8170000000000002</v>
      </c>
      <c r="BA102" s="120">
        <f t="shared" si="83"/>
        <v>0</v>
      </c>
      <c r="BB102" s="120">
        <f t="shared" si="83"/>
        <v>0</v>
      </c>
      <c r="BC102" s="120">
        <f t="shared" si="83"/>
        <v>0</v>
      </c>
      <c r="BD102" s="120">
        <f t="shared" si="84"/>
        <v>0</v>
      </c>
      <c r="BE102" s="120">
        <f t="shared" si="84"/>
        <v>0</v>
      </c>
      <c r="BF102" s="120">
        <f t="shared" si="84"/>
        <v>0</v>
      </c>
      <c r="BG102" s="120">
        <f t="shared" si="84"/>
        <v>0</v>
      </c>
      <c r="BH102" s="120">
        <f t="shared" si="84"/>
        <v>0</v>
      </c>
      <c r="BI102" s="120">
        <f t="shared" si="84"/>
        <v>0</v>
      </c>
      <c r="BJ102" s="120">
        <f t="shared" si="84"/>
        <v>0</v>
      </c>
      <c r="BK102" s="120">
        <f t="shared" si="84"/>
        <v>0</v>
      </c>
      <c r="BL102" s="120">
        <f t="shared" si="84"/>
        <v>0</v>
      </c>
      <c r="BM102" s="120">
        <f t="shared" si="84"/>
        <v>0</v>
      </c>
      <c r="BN102" s="120">
        <f t="shared" si="84"/>
        <v>0</v>
      </c>
      <c r="BO102" s="120">
        <f t="shared" si="84"/>
        <v>0</v>
      </c>
      <c r="BP102" s="120">
        <f t="shared" si="84"/>
        <v>0</v>
      </c>
      <c r="BR102" s="127">
        <f t="shared" si="72"/>
        <v>0</v>
      </c>
      <c r="BS102" s="127">
        <f t="shared" si="76"/>
        <v>0</v>
      </c>
      <c r="BT102" s="127">
        <f t="shared" si="77"/>
        <v>6.8170000000000002</v>
      </c>
      <c r="BY102" s="127">
        <f t="shared" si="85"/>
        <v>0</v>
      </c>
      <c r="BZ102" s="127">
        <f t="shared" si="86"/>
        <v>0</v>
      </c>
      <c r="CA102" s="127">
        <f t="shared" si="87"/>
        <v>0</v>
      </c>
    </row>
    <row r="103" spans="12:79" ht="25.2" customHeight="1" x14ac:dyDescent="0.3">
      <c r="L103" s="6"/>
      <c r="M103" s="125">
        <v>2</v>
      </c>
      <c r="N103" s="125">
        <v>12</v>
      </c>
      <c r="O103" s="71" t="s">
        <v>45</v>
      </c>
      <c r="P103" s="2">
        <f t="shared" si="80"/>
        <v>10</v>
      </c>
      <c r="Q103" s="2">
        <f t="shared" si="80"/>
        <v>70</v>
      </c>
      <c r="R103" s="2">
        <f t="shared" si="80"/>
        <v>39</v>
      </c>
      <c r="S103" s="2">
        <f t="shared" si="80"/>
        <v>0</v>
      </c>
      <c r="T103" s="2">
        <f t="shared" si="80"/>
        <v>0</v>
      </c>
      <c r="U103" s="2">
        <f t="shared" si="80"/>
        <v>0</v>
      </c>
      <c r="V103" s="2">
        <f t="shared" si="80"/>
        <v>0</v>
      </c>
      <c r="W103" s="2">
        <f t="shared" si="80"/>
        <v>0</v>
      </c>
      <c r="X103" s="2">
        <f t="shared" si="80"/>
        <v>0</v>
      </c>
      <c r="Y103" s="2">
        <f t="shared" si="80"/>
        <v>0</v>
      </c>
      <c r="Z103" s="120">
        <f t="shared" si="81"/>
        <v>0</v>
      </c>
      <c r="AA103" s="120">
        <f t="shared" si="81"/>
        <v>0</v>
      </c>
      <c r="AB103" s="120">
        <f t="shared" si="81"/>
        <v>0</v>
      </c>
      <c r="AC103" s="120">
        <f t="shared" si="81"/>
        <v>0</v>
      </c>
      <c r="AD103" s="120">
        <f t="shared" si="81"/>
        <v>0</v>
      </c>
      <c r="AE103" s="120">
        <f t="shared" si="81"/>
        <v>0</v>
      </c>
      <c r="AF103" s="120">
        <f t="shared" si="81"/>
        <v>0</v>
      </c>
      <c r="AG103" s="120">
        <f t="shared" si="81"/>
        <v>0</v>
      </c>
      <c r="AH103" s="120">
        <f t="shared" si="81"/>
        <v>0</v>
      </c>
      <c r="AI103" s="120">
        <f t="shared" si="81"/>
        <v>0</v>
      </c>
      <c r="AJ103" s="120">
        <f t="shared" si="82"/>
        <v>0</v>
      </c>
      <c r="AK103" s="120">
        <f t="shared" si="82"/>
        <v>0</v>
      </c>
      <c r="AL103" s="120">
        <f t="shared" si="82"/>
        <v>0</v>
      </c>
      <c r="AM103" s="120">
        <f t="shared" si="82"/>
        <v>0</v>
      </c>
      <c r="AN103" s="120">
        <f t="shared" si="82"/>
        <v>0</v>
      </c>
      <c r="AO103" s="120">
        <f t="shared" si="82"/>
        <v>0</v>
      </c>
      <c r="AP103" s="120">
        <f t="shared" si="82"/>
        <v>0</v>
      </c>
      <c r="AQ103" s="120">
        <f t="shared" si="82"/>
        <v>0</v>
      </c>
      <c r="AR103" s="120">
        <f t="shared" si="82"/>
        <v>0</v>
      </c>
      <c r="AS103" s="120">
        <f t="shared" si="82"/>
        <v>0.54</v>
      </c>
      <c r="AT103" s="120">
        <f t="shared" si="83"/>
        <v>3.78</v>
      </c>
      <c r="AU103" s="120">
        <f t="shared" si="83"/>
        <v>2.5350000000000001</v>
      </c>
      <c r="AV103" s="120">
        <f t="shared" si="83"/>
        <v>0</v>
      </c>
      <c r="AW103" s="120">
        <f t="shared" si="83"/>
        <v>0</v>
      </c>
      <c r="AX103" s="120">
        <f t="shared" si="83"/>
        <v>6.8550000000000004</v>
      </c>
      <c r="AY103" s="120">
        <f t="shared" si="83"/>
        <v>1</v>
      </c>
      <c r="AZ103" s="120">
        <f t="shared" si="83"/>
        <v>6.8550000000000004</v>
      </c>
      <c r="BA103" s="120">
        <f t="shared" si="83"/>
        <v>0</v>
      </c>
      <c r="BB103" s="120">
        <f t="shared" si="83"/>
        <v>0</v>
      </c>
      <c r="BC103" s="120">
        <f t="shared" si="83"/>
        <v>0</v>
      </c>
      <c r="BD103" s="120">
        <f t="shared" si="84"/>
        <v>0</v>
      </c>
      <c r="BE103" s="120">
        <f t="shared" si="84"/>
        <v>0</v>
      </c>
      <c r="BF103" s="120">
        <f t="shared" si="84"/>
        <v>0</v>
      </c>
      <c r="BG103" s="120">
        <f t="shared" si="84"/>
        <v>0</v>
      </c>
      <c r="BH103" s="120">
        <f t="shared" si="84"/>
        <v>0</v>
      </c>
      <c r="BI103" s="120">
        <f t="shared" si="84"/>
        <v>0</v>
      </c>
      <c r="BJ103" s="120">
        <f t="shared" si="84"/>
        <v>0</v>
      </c>
      <c r="BK103" s="120">
        <f t="shared" si="84"/>
        <v>0</v>
      </c>
      <c r="BL103" s="120">
        <f t="shared" si="84"/>
        <v>0</v>
      </c>
      <c r="BM103" s="120">
        <f t="shared" si="84"/>
        <v>0</v>
      </c>
      <c r="BN103" s="120">
        <f t="shared" si="84"/>
        <v>0</v>
      </c>
      <c r="BO103" s="120">
        <f t="shared" si="84"/>
        <v>0</v>
      </c>
      <c r="BP103" s="120">
        <f t="shared" si="84"/>
        <v>0</v>
      </c>
      <c r="BR103" s="127">
        <f t="shared" si="72"/>
        <v>0</v>
      </c>
      <c r="BS103" s="127">
        <f t="shared" si="76"/>
        <v>0</v>
      </c>
      <c r="BT103" s="127">
        <f t="shared" si="77"/>
        <v>6.8550000000000004</v>
      </c>
      <c r="BY103" s="127">
        <f t="shared" si="85"/>
        <v>0</v>
      </c>
      <c r="BZ103" s="127">
        <f t="shared" si="86"/>
        <v>0</v>
      </c>
      <c r="CA103" s="127">
        <f t="shared" si="87"/>
        <v>0</v>
      </c>
    </row>
    <row r="104" spans="12:79" ht="25.2" customHeight="1" x14ac:dyDescent="0.3">
      <c r="L104" s="6"/>
      <c r="M104" s="125">
        <v>3</v>
      </c>
      <c r="N104" s="125">
        <v>8</v>
      </c>
      <c r="O104" s="71" t="s">
        <v>32</v>
      </c>
      <c r="P104" s="2">
        <f t="shared" si="80"/>
        <v>41</v>
      </c>
      <c r="Q104" s="2">
        <f t="shared" si="80"/>
        <v>36</v>
      </c>
      <c r="R104" s="2">
        <f t="shared" si="80"/>
        <v>0</v>
      </c>
      <c r="S104" s="2">
        <f t="shared" si="80"/>
        <v>0</v>
      </c>
      <c r="T104" s="2">
        <f t="shared" si="80"/>
        <v>0</v>
      </c>
      <c r="U104" s="2">
        <f t="shared" si="80"/>
        <v>0</v>
      </c>
      <c r="V104" s="2">
        <f t="shared" si="80"/>
        <v>0</v>
      </c>
      <c r="W104" s="2">
        <f t="shared" si="80"/>
        <v>0</v>
      </c>
      <c r="X104" s="2">
        <f t="shared" si="80"/>
        <v>0</v>
      </c>
      <c r="Y104" s="2">
        <f t="shared" si="80"/>
        <v>0</v>
      </c>
      <c r="Z104" s="120">
        <f t="shared" si="81"/>
        <v>0</v>
      </c>
      <c r="AA104" s="120">
        <f t="shared" si="81"/>
        <v>0</v>
      </c>
      <c r="AB104" s="120">
        <f t="shared" si="81"/>
        <v>0</v>
      </c>
      <c r="AC104" s="120">
        <f t="shared" si="81"/>
        <v>0</v>
      </c>
      <c r="AD104" s="120">
        <f t="shared" si="81"/>
        <v>0</v>
      </c>
      <c r="AE104" s="120">
        <f t="shared" si="81"/>
        <v>0</v>
      </c>
      <c r="AF104" s="120">
        <f t="shared" si="81"/>
        <v>0</v>
      </c>
      <c r="AG104" s="120">
        <f t="shared" si="81"/>
        <v>0</v>
      </c>
      <c r="AH104" s="120">
        <f t="shared" si="81"/>
        <v>0</v>
      </c>
      <c r="AI104" s="120">
        <f t="shared" si="81"/>
        <v>0</v>
      </c>
      <c r="AJ104" s="120">
        <f t="shared" si="82"/>
        <v>0</v>
      </c>
      <c r="AK104" s="120">
        <f t="shared" si="82"/>
        <v>0</v>
      </c>
      <c r="AL104" s="120">
        <f t="shared" si="82"/>
        <v>0</v>
      </c>
      <c r="AM104" s="120">
        <f t="shared" si="82"/>
        <v>0</v>
      </c>
      <c r="AN104" s="120">
        <f t="shared" si="82"/>
        <v>0</v>
      </c>
      <c r="AO104" s="120">
        <f t="shared" si="82"/>
        <v>0</v>
      </c>
      <c r="AP104" s="120">
        <f t="shared" si="82"/>
        <v>0</v>
      </c>
      <c r="AQ104" s="120">
        <f t="shared" si="82"/>
        <v>0</v>
      </c>
      <c r="AR104" s="120">
        <f t="shared" si="82"/>
        <v>0</v>
      </c>
      <c r="AS104" s="120">
        <f t="shared" si="82"/>
        <v>2.214</v>
      </c>
      <c r="AT104" s="120">
        <f t="shared" si="83"/>
        <v>1.944</v>
      </c>
      <c r="AU104" s="120">
        <f t="shared" si="83"/>
        <v>0</v>
      </c>
      <c r="AV104" s="120">
        <f t="shared" si="83"/>
        <v>0</v>
      </c>
      <c r="AW104" s="120">
        <f t="shared" si="83"/>
        <v>0</v>
      </c>
      <c r="AX104" s="120">
        <f t="shared" si="83"/>
        <v>4.1580000000000004</v>
      </c>
      <c r="AY104" s="120">
        <f t="shared" si="83"/>
        <v>2</v>
      </c>
      <c r="AZ104" s="120">
        <f t="shared" si="83"/>
        <v>4.1580000000000004</v>
      </c>
      <c r="BA104" s="120">
        <f t="shared" si="83"/>
        <v>0</v>
      </c>
      <c r="BB104" s="120">
        <f t="shared" si="83"/>
        <v>0</v>
      </c>
      <c r="BC104" s="120">
        <f t="shared" si="83"/>
        <v>0</v>
      </c>
      <c r="BD104" s="120">
        <f t="shared" si="84"/>
        <v>0</v>
      </c>
      <c r="BE104" s="120">
        <f t="shared" si="84"/>
        <v>0</v>
      </c>
      <c r="BF104" s="120">
        <f t="shared" si="84"/>
        <v>0</v>
      </c>
      <c r="BG104" s="120">
        <f t="shared" si="84"/>
        <v>0</v>
      </c>
      <c r="BH104" s="120">
        <f t="shared" si="84"/>
        <v>0</v>
      </c>
      <c r="BI104" s="120">
        <f t="shared" si="84"/>
        <v>0</v>
      </c>
      <c r="BJ104" s="120">
        <f t="shared" si="84"/>
        <v>0</v>
      </c>
      <c r="BK104" s="120">
        <f t="shared" si="84"/>
        <v>0</v>
      </c>
      <c r="BL104" s="120">
        <f t="shared" si="84"/>
        <v>0</v>
      </c>
      <c r="BM104" s="120">
        <f t="shared" si="84"/>
        <v>0</v>
      </c>
      <c r="BN104" s="120">
        <f t="shared" si="84"/>
        <v>0</v>
      </c>
      <c r="BO104" s="120">
        <f t="shared" si="84"/>
        <v>0</v>
      </c>
      <c r="BP104" s="120">
        <f t="shared" si="84"/>
        <v>0</v>
      </c>
      <c r="BR104" s="127">
        <f t="shared" si="72"/>
        <v>0</v>
      </c>
      <c r="BS104" s="127">
        <f t="shared" si="76"/>
        <v>0</v>
      </c>
      <c r="BT104" s="127">
        <f t="shared" si="77"/>
        <v>4.1580000000000004</v>
      </c>
      <c r="BY104" s="127">
        <f t="shared" si="85"/>
        <v>0</v>
      </c>
      <c r="BZ104" s="127">
        <f t="shared" si="86"/>
        <v>0</v>
      </c>
      <c r="CA104" s="127">
        <f t="shared" si="87"/>
        <v>0</v>
      </c>
    </row>
    <row r="105" spans="12:79" ht="25.2" customHeight="1" x14ac:dyDescent="0.3">
      <c r="L105" s="6"/>
      <c r="M105" s="125">
        <v>3</v>
      </c>
      <c r="N105" s="125">
        <v>9</v>
      </c>
      <c r="O105" s="71" t="s">
        <v>33</v>
      </c>
      <c r="P105" s="2">
        <f t="shared" ref="P105:Y114" si="88">+SUMIF($M$8:$M$77,$O105,P$8:P$77)</f>
        <v>48</v>
      </c>
      <c r="Q105" s="2">
        <f t="shared" si="88"/>
        <v>39</v>
      </c>
      <c r="R105" s="2">
        <f t="shared" si="88"/>
        <v>39</v>
      </c>
      <c r="S105" s="2">
        <f t="shared" si="88"/>
        <v>21</v>
      </c>
      <c r="T105" s="2">
        <f t="shared" si="88"/>
        <v>0</v>
      </c>
      <c r="U105" s="2">
        <f t="shared" si="88"/>
        <v>0</v>
      </c>
      <c r="V105" s="2">
        <f t="shared" si="88"/>
        <v>0</v>
      </c>
      <c r="W105" s="2">
        <f t="shared" si="88"/>
        <v>0</v>
      </c>
      <c r="X105" s="2">
        <f t="shared" si="88"/>
        <v>0</v>
      </c>
      <c r="Y105" s="2">
        <f t="shared" si="88"/>
        <v>0</v>
      </c>
      <c r="Z105" s="120">
        <f t="shared" ref="Z105:AI114" si="89">+SUMIF($M$8:$M$77,$O105,Z$8:Z$77)</f>
        <v>0</v>
      </c>
      <c r="AA105" s="120">
        <f t="shared" si="89"/>
        <v>0</v>
      </c>
      <c r="AB105" s="120">
        <f t="shared" si="89"/>
        <v>0</v>
      </c>
      <c r="AC105" s="120">
        <f t="shared" si="89"/>
        <v>0</v>
      </c>
      <c r="AD105" s="120">
        <f t="shared" si="89"/>
        <v>0</v>
      </c>
      <c r="AE105" s="120">
        <f t="shared" si="89"/>
        <v>0</v>
      </c>
      <c r="AF105" s="120">
        <f t="shared" si="89"/>
        <v>0</v>
      </c>
      <c r="AG105" s="120">
        <f t="shared" si="89"/>
        <v>0</v>
      </c>
      <c r="AH105" s="120">
        <f t="shared" si="89"/>
        <v>0</v>
      </c>
      <c r="AI105" s="120">
        <f t="shared" si="89"/>
        <v>0</v>
      </c>
      <c r="AJ105" s="120">
        <f t="shared" ref="AJ105:AS114" si="90">+SUMIF($M$8:$M$77,$O105,AJ$8:AJ$77)</f>
        <v>0</v>
      </c>
      <c r="AK105" s="120">
        <f t="shared" si="90"/>
        <v>0</v>
      </c>
      <c r="AL105" s="120">
        <f t="shared" si="90"/>
        <v>0</v>
      </c>
      <c r="AM105" s="120">
        <f t="shared" si="90"/>
        <v>0</v>
      </c>
      <c r="AN105" s="120">
        <f t="shared" si="90"/>
        <v>0</v>
      </c>
      <c r="AO105" s="120">
        <f t="shared" si="90"/>
        <v>0</v>
      </c>
      <c r="AP105" s="120">
        <f t="shared" si="90"/>
        <v>0</v>
      </c>
      <c r="AQ105" s="120">
        <f t="shared" si="90"/>
        <v>0</v>
      </c>
      <c r="AR105" s="120">
        <f t="shared" si="90"/>
        <v>0</v>
      </c>
      <c r="AS105" s="120">
        <f t="shared" si="90"/>
        <v>2.5919999999999996</v>
      </c>
      <c r="AT105" s="120">
        <f t="shared" ref="AT105:BC114" si="91">+SUMIF($M$8:$M$77,$O105,AT$8:AT$77)</f>
        <v>2.1059999999999999</v>
      </c>
      <c r="AU105" s="120">
        <f t="shared" si="91"/>
        <v>2.5349999999999997</v>
      </c>
      <c r="AV105" s="120">
        <f t="shared" si="91"/>
        <v>1.68</v>
      </c>
      <c r="AW105" s="120">
        <f t="shared" si="91"/>
        <v>0</v>
      </c>
      <c r="AX105" s="120">
        <f t="shared" si="91"/>
        <v>8.9130000000000003</v>
      </c>
      <c r="AY105" s="120">
        <f t="shared" si="91"/>
        <v>4</v>
      </c>
      <c r="AZ105" s="120">
        <f t="shared" si="91"/>
        <v>8.9130000000000003</v>
      </c>
      <c r="BA105" s="120">
        <f t="shared" si="91"/>
        <v>0</v>
      </c>
      <c r="BB105" s="120">
        <f t="shared" si="91"/>
        <v>0</v>
      </c>
      <c r="BC105" s="120">
        <f t="shared" si="91"/>
        <v>0</v>
      </c>
      <c r="BD105" s="120">
        <f t="shared" ref="BD105:BP114" si="92">+SUMIF($M$8:$M$77,$O105,BD$8:BD$77)</f>
        <v>0</v>
      </c>
      <c r="BE105" s="120">
        <f t="shared" si="92"/>
        <v>0</v>
      </c>
      <c r="BF105" s="120">
        <f t="shared" si="92"/>
        <v>0</v>
      </c>
      <c r="BG105" s="120">
        <f t="shared" si="92"/>
        <v>0</v>
      </c>
      <c r="BH105" s="120">
        <f t="shared" si="92"/>
        <v>0</v>
      </c>
      <c r="BI105" s="120">
        <f t="shared" si="92"/>
        <v>0</v>
      </c>
      <c r="BJ105" s="120">
        <f t="shared" si="92"/>
        <v>0</v>
      </c>
      <c r="BK105" s="120">
        <f t="shared" si="92"/>
        <v>0</v>
      </c>
      <c r="BL105" s="120">
        <f t="shared" si="92"/>
        <v>0</v>
      </c>
      <c r="BM105" s="120">
        <f t="shared" si="92"/>
        <v>0</v>
      </c>
      <c r="BN105" s="120">
        <f t="shared" si="92"/>
        <v>0</v>
      </c>
      <c r="BO105" s="120">
        <f t="shared" si="92"/>
        <v>0</v>
      </c>
      <c r="BP105" s="120">
        <f t="shared" si="92"/>
        <v>0</v>
      </c>
      <c r="BR105" s="127">
        <f t="shared" si="72"/>
        <v>0</v>
      </c>
      <c r="BS105" s="127">
        <f t="shared" si="76"/>
        <v>0</v>
      </c>
      <c r="BT105" s="127">
        <f t="shared" si="77"/>
        <v>8.9130000000000003</v>
      </c>
      <c r="BY105" s="127">
        <f t="shared" si="85"/>
        <v>0</v>
      </c>
      <c r="BZ105" s="127">
        <f t="shared" si="86"/>
        <v>0</v>
      </c>
      <c r="CA105" s="127">
        <f t="shared" si="87"/>
        <v>0</v>
      </c>
    </row>
    <row r="106" spans="12:79" ht="25.2" customHeight="1" x14ac:dyDescent="0.3">
      <c r="L106" s="6"/>
      <c r="M106" s="125">
        <v>3</v>
      </c>
      <c r="N106" s="125">
        <v>7</v>
      </c>
      <c r="O106" s="71" t="s">
        <v>34</v>
      </c>
      <c r="P106" s="2">
        <f t="shared" si="88"/>
        <v>0</v>
      </c>
      <c r="Q106" s="2">
        <f t="shared" si="88"/>
        <v>0</v>
      </c>
      <c r="R106" s="2">
        <f t="shared" si="88"/>
        <v>0</v>
      </c>
      <c r="S106" s="2">
        <f t="shared" si="88"/>
        <v>0</v>
      </c>
      <c r="T106" s="2">
        <f t="shared" si="88"/>
        <v>0</v>
      </c>
      <c r="U106" s="2">
        <f t="shared" si="88"/>
        <v>0</v>
      </c>
      <c r="V106" s="2">
        <f t="shared" si="88"/>
        <v>0</v>
      </c>
      <c r="W106" s="2">
        <f t="shared" si="88"/>
        <v>0</v>
      </c>
      <c r="X106" s="2">
        <f t="shared" si="88"/>
        <v>0</v>
      </c>
      <c r="Y106" s="2">
        <f t="shared" si="88"/>
        <v>0</v>
      </c>
      <c r="Z106" s="120">
        <f t="shared" si="89"/>
        <v>0</v>
      </c>
      <c r="AA106" s="120">
        <f t="shared" si="89"/>
        <v>0</v>
      </c>
      <c r="AB106" s="120">
        <f t="shared" si="89"/>
        <v>0</v>
      </c>
      <c r="AC106" s="120">
        <f t="shared" si="89"/>
        <v>0</v>
      </c>
      <c r="AD106" s="120">
        <f t="shared" si="89"/>
        <v>0</v>
      </c>
      <c r="AE106" s="120">
        <f t="shared" si="89"/>
        <v>0</v>
      </c>
      <c r="AF106" s="120">
        <f t="shared" si="89"/>
        <v>0</v>
      </c>
      <c r="AG106" s="120">
        <f t="shared" si="89"/>
        <v>0</v>
      </c>
      <c r="AH106" s="120">
        <f t="shared" si="89"/>
        <v>0</v>
      </c>
      <c r="AI106" s="120">
        <f t="shared" si="89"/>
        <v>0</v>
      </c>
      <c r="AJ106" s="120">
        <f t="shared" si="90"/>
        <v>0</v>
      </c>
      <c r="AK106" s="120">
        <f t="shared" si="90"/>
        <v>0</v>
      </c>
      <c r="AL106" s="120">
        <f t="shared" si="90"/>
        <v>0</v>
      </c>
      <c r="AM106" s="120">
        <f t="shared" si="90"/>
        <v>0</v>
      </c>
      <c r="AN106" s="120">
        <f t="shared" si="90"/>
        <v>0</v>
      </c>
      <c r="AO106" s="120">
        <f t="shared" si="90"/>
        <v>0</v>
      </c>
      <c r="AP106" s="120">
        <f t="shared" si="90"/>
        <v>0</v>
      </c>
      <c r="AQ106" s="120">
        <f t="shared" si="90"/>
        <v>0</v>
      </c>
      <c r="AR106" s="120">
        <f t="shared" si="90"/>
        <v>0</v>
      </c>
      <c r="AS106" s="120">
        <f t="shared" si="90"/>
        <v>0</v>
      </c>
      <c r="AT106" s="120">
        <f t="shared" si="91"/>
        <v>0</v>
      </c>
      <c r="AU106" s="120">
        <f t="shared" si="91"/>
        <v>0</v>
      </c>
      <c r="AV106" s="120">
        <f t="shared" si="91"/>
        <v>0</v>
      </c>
      <c r="AW106" s="120">
        <f t="shared" si="91"/>
        <v>0</v>
      </c>
      <c r="AX106" s="120">
        <f t="shared" si="91"/>
        <v>0</v>
      </c>
      <c r="AY106" s="120">
        <f t="shared" si="91"/>
        <v>0</v>
      </c>
      <c r="AZ106" s="120">
        <f t="shared" si="91"/>
        <v>0</v>
      </c>
      <c r="BA106" s="120">
        <f t="shared" si="91"/>
        <v>0</v>
      </c>
      <c r="BB106" s="120">
        <f t="shared" si="91"/>
        <v>0</v>
      </c>
      <c r="BC106" s="120">
        <f t="shared" si="91"/>
        <v>0</v>
      </c>
      <c r="BD106" s="120">
        <f t="shared" si="92"/>
        <v>0</v>
      </c>
      <c r="BE106" s="120">
        <f t="shared" si="92"/>
        <v>0</v>
      </c>
      <c r="BF106" s="120">
        <f t="shared" si="92"/>
        <v>0</v>
      </c>
      <c r="BG106" s="120">
        <f t="shared" si="92"/>
        <v>0</v>
      </c>
      <c r="BH106" s="120">
        <f t="shared" si="92"/>
        <v>0</v>
      </c>
      <c r="BI106" s="120">
        <f t="shared" si="92"/>
        <v>0</v>
      </c>
      <c r="BJ106" s="120">
        <f t="shared" si="92"/>
        <v>0</v>
      </c>
      <c r="BK106" s="120">
        <f t="shared" si="92"/>
        <v>0</v>
      </c>
      <c r="BL106" s="120">
        <f t="shared" si="92"/>
        <v>0</v>
      </c>
      <c r="BM106" s="120">
        <f t="shared" si="92"/>
        <v>0</v>
      </c>
      <c r="BN106" s="120">
        <f t="shared" si="92"/>
        <v>0</v>
      </c>
      <c r="BO106" s="120">
        <f t="shared" si="92"/>
        <v>0</v>
      </c>
      <c r="BP106" s="120">
        <f t="shared" si="92"/>
        <v>0</v>
      </c>
      <c r="BR106" s="127">
        <f t="shared" si="72"/>
        <v>0</v>
      </c>
      <c r="BS106" s="127">
        <f t="shared" si="76"/>
        <v>0</v>
      </c>
      <c r="BT106" s="127">
        <f t="shared" si="77"/>
        <v>0</v>
      </c>
      <c r="BY106" s="127">
        <f t="shared" si="85"/>
        <v>0</v>
      </c>
      <c r="BZ106" s="127">
        <f t="shared" si="86"/>
        <v>0</v>
      </c>
      <c r="CA106" s="127">
        <f t="shared" si="87"/>
        <v>0</v>
      </c>
    </row>
    <row r="107" spans="12:79" ht="25.2" customHeight="1" x14ac:dyDescent="0.3">
      <c r="L107" s="6"/>
      <c r="M107" s="125">
        <v>3</v>
      </c>
      <c r="N107" s="125">
        <v>7</v>
      </c>
      <c r="O107" s="71" t="s">
        <v>35</v>
      </c>
      <c r="P107" s="2">
        <f t="shared" si="88"/>
        <v>0</v>
      </c>
      <c r="Q107" s="2">
        <f t="shared" si="88"/>
        <v>60</v>
      </c>
      <c r="R107" s="2">
        <f t="shared" si="88"/>
        <v>0</v>
      </c>
      <c r="S107" s="2">
        <f t="shared" si="88"/>
        <v>0</v>
      </c>
      <c r="T107" s="2">
        <f t="shared" si="88"/>
        <v>0</v>
      </c>
      <c r="U107" s="2">
        <f t="shared" si="88"/>
        <v>0</v>
      </c>
      <c r="V107" s="2">
        <f t="shared" si="88"/>
        <v>0</v>
      </c>
      <c r="W107" s="2">
        <f t="shared" si="88"/>
        <v>0</v>
      </c>
      <c r="X107" s="2">
        <f t="shared" si="88"/>
        <v>0</v>
      </c>
      <c r="Y107" s="2">
        <f t="shared" si="88"/>
        <v>0</v>
      </c>
      <c r="Z107" s="120">
        <f t="shared" si="89"/>
        <v>0</v>
      </c>
      <c r="AA107" s="120">
        <f t="shared" si="89"/>
        <v>0</v>
      </c>
      <c r="AB107" s="120">
        <f t="shared" si="89"/>
        <v>0</v>
      </c>
      <c r="AC107" s="120">
        <f t="shared" si="89"/>
        <v>0</v>
      </c>
      <c r="AD107" s="120">
        <f t="shared" si="89"/>
        <v>0</v>
      </c>
      <c r="AE107" s="120">
        <f t="shared" si="89"/>
        <v>0</v>
      </c>
      <c r="AF107" s="120">
        <f t="shared" si="89"/>
        <v>0</v>
      </c>
      <c r="AG107" s="120">
        <f t="shared" si="89"/>
        <v>0</v>
      </c>
      <c r="AH107" s="120">
        <f t="shared" si="89"/>
        <v>0</v>
      </c>
      <c r="AI107" s="120">
        <f t="shared" si="89"/>
        <v>0</v>
      </c>
      <c r="AJ107" s="120">
        <f t="shared" si="90"/>
        <v>0</v>
      </c>
      <c r="AK107" s="120">
        <f t="shared" si="90"/>
        <v>0</v>
      </c>
      <c r="AL107" s="120">
        <f t="shared" si="90"/>
        <v>0</v>
      </c>
      <c r="AM107" s="120">
        <f t="shared" si="90"/>
        <v>0</v>
      </c>
      <c r="AN107" s="120">
        <f t="shared" si="90"/>
        <v>0</v>
      </c>
      <c r="AO107" s="120">
        <f t="shared" si="90"/>
        <v>0</v>
      </c>
      <c r="AP107" s="120">
        <f t="shared" si="90"/>
        <v>0</v>
      </c>
      <c r="AQ107" s="120">
        <f t="shared" si="90"/>
        <v>0</v>
      </c>
      <c r="AR107" s="120">
        <f t="shared" si="90"/>
        <v>0</v>
      </c>
      <c r="AS107" s="120">
        <f t="shared" si="90"/>
        <v>0</v>
      </c>
      <c r="AT107" s="120">
        <f t="shared" si="91"/>
        <v>3.24</v>
      </c>
      <c r="AU107" s="120">
        <f t="shared" si="91"/>
        <v>0</v>
      </c>
      <c r="AV107" s="120">
        <f t="shared" si="91"/>
        <v>0</v>
      </c>
      <c r="AW107" s="120">
        <f t="shared" si="91"/>
        <v>0</v>
      </c>
      <c r="AX107" s="120">
        <f t="shared" si="91"/>
        <v>3.24</v>
      </c>
      <c r="AY107" s="120">
        <f t="shared" si="91"/>
        <v>1</v>
      </c>
      <c r="AZ107" s="120">
        <f t="shared" si="91"/>
        <v>3.24</v>
      </c>
      <c r="BA107" s="120">
        <f t="shared" si="91"/>
        <v>0</v>
      </c>
      <c r="BB107" s="120">
        <f t="shared" si="91"/>
        <v>0</v>
      </c>
      <c r="BC107" s="120">
        <f t="shared" si="91"/>
        <v>0</v>
      </c>
      <c r="BD107" s="120">
        <f t="shared" si="92"/>
        <v>0</v>
      </c>
      <c r="BE107" s="120">
        <f t="shared" si="92"/>
        <v>0</v>
      </c>
      <c r="BF107" s="120">
        <f t="shared" si="92"/>
        <v>0</v>
      </c>
      <c r="BG107" s="120">
        <f t="shared" si="92"/>
        <v>0</v>
      </c>
      <c r="BH107" s="120">
        <f t="shared" si="92"/>
        <v>0</v>
      </c>
      <c r="BI107" s="120">
        <f t="shared" si="92"/>
        <v>0</v>
      </c>
      <c r="BJ107" s="120">
        <f t="shared" si="92"/>
        <v>0</v>
      </c>
      <c r="BK107" s="120">
        <f t="shared" si="92"/>
        <v>0</v>
      </c>
      <c r="BL107" s="120">
        <f t="shared" si="92"/>
        <v>0</v>
      </c>
      <c r="BM107" s="120">
        <f t="shared" si="92"/>
        <v>0</v>
      </c>
      <c r="BN107" s="120">
        <f t="shared" si="92"/>
        <v>0</v>
      </c>
      <c r="BO107" s="120">
        <f t="shared" si="92"/>
        <v>0</v>
      </c>
      <c r="BP107" s="120">
        <f t="shared" si="92"/>
        <v>0</v>
      </c>
      <c r="BR107" s="127">
        <f t="shared" si="72"/>
        <v>0</v>
      </c>
      <c r="BS107" s="127">
        <f t="shared" si="76"/>
        <v>0</v>
      </c>
      <c r="BT107" s="127">
        <f t="shared" si="77"/>
        <v>3.24</v>
      </c>
      <c r="BY107" s="127">
        <f t="shared" si="85"/>
        <v>0</v>
      </c>
      <c r="BZ107" s="127">
        <f t="shared" si="86"/>
        <v>0</v>
      </c>
      <c r="CA107" s="127">
        <f t="shared" si="87"/>
        <v>0</v>
      </c>
    </row>
    <row r="108" spans="12:79" ht="25.2" customHeight="1" x14ac:dyDescent="0.3">
      <c r="L108" s="6"/>
      <c r="M108" s="125">
        <v>3</v>
      </c>
      <c r="N108" s="125">
        <v>7</v>
      </c>
      <c r="O108" s="71" t="s">
        <v>36</v>
      </c>
      <c r="P108" s="2">
        <f t="shared" si="88"/>
        <v>0</v>
      </c>
      <c r="Q108" s="2">
        <f t="shared" si="88"/>
        <v>57</v>
      </c>
      <c r="R108" s="2">
        <f t="shared" si="88"/>
        <v>32</v>
      </c>
      <c r="S108" s="2">
        <f t="shared" si="88"/>
        <v>0</v>
      </c>
      <c r="T108" s="2">
        <f t="shared" si="88"/>
        <v>0</v>
      </c>
      <c r="U108" s="2">
        <f t="shared" si="88"/>
        <v>0</v>
      </c>
      <c r="V108" s="2">
        <f t="shared" si="88"/>
        <v>0</v>
      </c>
      <c r="W108" s="2">
        <f t="shared" si="88"/>
        <v>0</v>
      </c>
      <c r="X108" s="2">
        <f t="shared" si="88"/>
        <v>0</v>
      </c>
      <c r="Y108" s="2">
        <f t="shared" si="88"/>
        <v>0</v>
      </c>
      <c r="Z108" s="120">
        <f t="shared" si="89"/>
        <v>0</v>
      </c>
      <c r="AA108" s="120">
        <f t="shared" si="89"/>
        <v>0</v>
      </c>
      <c r="AB108" s="120">
        <f t="shared" si="89"/>
        <v>0</v>
      </c>
      <c r="AC108" s="120">
        <f t="shared" si="89"/>
        <v>0</v>
      </c>
      <c r="AD108" s="120">
        <f t="shared" si="89"/>
        <v>0</v>
      </c>
      <c r="AE108" s="120">
        <f t="shared" si="89"/>
        <v>0</v>
      </c>
      <c r="AF108" s="120">
        <f t="shared" si="89"/>
        <v>0</v>
      </c>
      <c r="AG108" s="120">
        <f t="shared" si="89"/>
        <v>0</v>
      </c>
      <c r="AH108" s="120">
        <f t="shared" si="89"/>
        <v>0</v>
      </c>
      <c r="AI108" s="120">
        <f t="shared" si="89"/>
        <v>0</v>
      </c>
      <c r="AJ108" s="120">
        <f t="shared" si="90"/>
        <v>0</v>
      </c>
      <c r="AK108" s="120">
        <f t="shared" si="90"/>
        <v>0</v>
      </c>
      <c r="AL108" s="120">
        <f t="shared" si="90"/>
        <v>0</v>
      </c>
      <c r="AM108" s="120">
        <f t="shared" si="90"/>
        <v>0</v>
      </c>
      <c r="AN108" s="120">
        <f t="shared" si="90"/>
        <v>0</v>
      </c>
      <c r="AO108" s="120">
        <f t="shared" si="90"/>
        <v>0</v>
      </c>
      <c r="AP108" s="120">
        <f t="shared" si="90"/>
        <v>0</v>
      </c>
      <c r="AQ108" s="120">
        <f t="shared" si="90"/>
        <v>0</v>
      </c>
      <c r="AR108" s="120">
        <f t="shared" si="90"/>
        <v>0</v>
      </c>
      <c r="AS108" s="120">
        <f t="shared" si="90"/>
        <v>0</v>
      </c>
      <c r="AT108" s="120">
        <f t="shared" si="91"/>
        <v>3.0780000000000003</v>
      </c>
      <c r="AU108" s="120">
        <f t="shared" si="91"/>
        <v>2.08</v>
      </c>
      <c r="AV108" s="120">
        <f t="shared" si="91"/>
        <v>0</v>
      </c>
      <c r="AW108" s="120">
        <f t="shared" si="91"/>
        <v>0</v>
      </c>
      <c r="AX108" s="120">
        <f t="shared" si="91"/>
        <v>5.1580000000000004</v>
      </c>
      <c r="AY108" s="120">
        <f t="shared" si="91"/>
        <v>3</v>
      </c>
      <c r="AZ108" s="120">
        <f t="shared" si="91"/>
        <v>5.1580000000000004</v>
      </c>
      <c r="BA108" s="120">
        <f t="shared" si="91"/>
        <v>0</v>
      </c>
      <c r="BB108" s="120">
        <f t="shared" si="91"/>
        <v>0</v>
      </c>
      <c r="BC108" s="120">
        <f t="shared" si="91"/>
        <v>0</v>
      </c>
      <c r="BD108" s="120">
        <f t="shared" si="92"/>
        <v>0</v>
      </c>
      <c r="BE108" s="120">
        <f t="shared" si="92"/>
        <v>0</v>
      </c>
      <c r="BF108" s="120">
        <f t="shared" si="92"/>
        <v>0</v>
      </c>
      <c r="BG108" s="120">
        <f t="shared" si="92"/>
        <v>0</v>
      </c>
      <c r="BH108" s="120">
        <f t="shared" si="92"/>
        <v>0</v>
      </c>
      <c r="BI108" s="120">
        <f t="shared" si="92"/>
        <v>0</v>
      </c>
      <c r="BJ108" s="120">
        <f t="shared" si="92"/>
        <v>0</v>
      </c>
      <c r="BK108" s="120">
        <f t="shared" si="92"/>
        <v>0</v>
      </c>
      <c r="BL108" s="120">
        <f t="shared" si="92"/>
        <v>0</v>
      </c>
      <c r="BM108" s="120">
        <f t="shared" si="92"/>
        <v>0</v>
      </c>
      <c r="BN108" s="120">
        <f t="shared" si="92"/>
        <v>0</v>
      </c>
      <c r="BO108" s="120">
        <f t="shared" si="92"/>
        <v>0</v>
      </c>
      <c r="BP108" s="120">
        <f t="shared" si="92"/>
        <v>0</v>
      </c>
      <c r="BR108" s="127">
        <f t="shared" si="72"/>
        <v>0</v>
      </c>
      <c r="BS108" s="127">
        <f t="shared" si="76"/>
        <v>0</v>
      </c>
      <c r="BT108" s="127">
        <f t="shared" si="77"/>
        <v>5.1580000000000004</v>
      </c>
      <c r="BY108" s="127">
        <f t="shared" si="85"/>
        <v>0</v>
      </c>
      <c r="BZ108" s="127">
        <f t="shared" si="86"/>
        <v>0</v>
      </c>
      <c r="CA108" s="127">
        <f t="shared" si="87"/>
        <v>0</v>
      </c>
    </row>
    <row r="109" spans="12:79" ht="25.2" customHeight="1" x14ac:dyDescent="0.3">
      <c r="L109" s="6"/>
      <c r="M109" s="125">
        <v>4</v>
      </c>
      <c r="N109" s="125">
        <v>7</v>
      </c>
      <c r="O109" s="71" t="s">
        <v>61</v>
      </c>
      <c r="P109" s="2">
        <f t="shared" si="88"/>
        <v>0</v>
      </c>
      <c r="Q109" s="2">
        <f t="shared" si="88"/>
        <v>0</v>
      </c>
      <c r="R109" s="2">
        <f t="shared" si="88"/>
        <v>0</v>
      </c>
      <c r="S109" s="2">
        <f t="shared" si="88"/>
        <v>0</v>
      </c>
      <c r="T109" s="2">
        <f t="shared" si="88"/>
        <v>0</v>
      </c>
      <c r="U109" s="2">
        <f t="shared" si="88"/>
        <v>0</v>
      </c>
      <c r="V109" s="2">
        <f t="shared" si="88"/>
        <v>0</v>
      </c>
      <c r="W109" s="2">
        <f t="shared" si="88"/>
        <v>0</v>
      </c>
      <c r="X109" s="2">
        <f t="shared" si="88"/>
        <v>0</v>
      </c>
      <c r="Y109" s="2">
        <f t="shared" si="88"/>
        <v>0</v>
      </c>
      <c r="Z109" s="120">
        <f t="shared" si="89"/>
        <v>0</v>
      </c>
      <c r="AA109" s="120">
        <f t="shared" si="89"/>
        <v>0</v>
      </c>
      <c r="AB109" s="120">
        <f t="shared" si="89"/>
        <v>0</v>
      </c>
      <c r="AC109" s="120">
        <f t="shared" si="89"/>
        <v>0</v>
      </c>
      <c r="AD109" s="120">
        <f t="shared" si="89"/>
        <v>0</v>
      </c>
      <c r="AE109" s="120">
        <f t="shared" si="89"/>
        <v>0</v>
      </c>
      <c r="AF109" s="120">
        <f t="shared" si="89"/>
        <v>0</v>
      </c>
      <c r="AG109" s="120">
        <f t="shared" si="89"/>
        <v>0</v>
      </c>
      <c r="AH109" s="120">
        <f t="shared" si="89"/>
        <v>0</v>
      </c>
      <c r="AI109" s="120">
        <f t="shared" si="89"/>
        <v>0</v>
      </c>
      <c r="AJ109" s="120">
        <f t="shared" si="90"/>
        <v>0</v>
      </c>
      <c r="AK109" s="120">
        <f t="shared" si="90"/>
        <v>0</v>
      </c>
      <c r="AL109" s="120">
        <f t="shared" si="90"/>
        <v>0</v>
      </c>
      <c r="AM109" s="120">
        <f t="shared" si="90"/>
        <v>0</v>
      </c>
      <c r="AN109" s="120">
        <f t="shared" si="90"/>
        <v>0</v>
      </c>
      <c r="AO109" s="120">
        <f t="shared" si="90"/>
        <v>0</v>
      </c>
      <c r="AP109" s="120">
        <f t="shared" si="90"/>
        <v>0</v>
      </c>
      <c r="AQ109" s="120">
        <f t="shared" si="90"/>
        <v>0</v>
      </c>
      <c r="AR109" s="120">
        <f t="shared" si="90"/>
        <v>0</v>
      </c>
      <c r="AS109" s="120">
        <f t="shared" si="90"/>
        <v>0</v>
      </c>
      <c r="AT109" s="120">
        <f t="shared" si="91"/>
        <v>0</v>
      </c>
      <c r="AU109" s="120">
        <f t="shared" si="91"/>
        <v>0</v>
      </c>
      <c r="AV109" s="120">
        <f t="shared" si="91"/>
        <v>0</v>
      </c>
      <c r="AW109" s="120">
        <f t="shared" si="91"/>
        <v>0</v>
      </c>
      <c r="AX109" s="120">
        <f t="shared" si="91"/>
        <v>0</v>
      </c>
      <c r="AY109" s="120">
        <f t="shared" si="91"/>
        <v>0</v>
      </c>
      <c r="AZ109" s="120">
        <f t="shared" si="91"/>
        <v>0</v>
      </c>
      <c r="BA109" s="120">
        <f t="shared" si="91"/>
        <v>0</v>
      </c>
      <c r="BB109" s="120">
        <f t="shared" si="91"/>
        <v>0</v>
      </c>
      <c r="BC109" s="120">
        <f t="shared" si="91"/>
        <v>0</v>
      </c>
      <c r="BD109" s="120">
        <f t="shared" si="92"/>
        <v>0</v>
      </c>
      <c r="BE109" s="120">
        <f t="shared" si="92"/>
        <v>0</v>
      </c>
      <c r="BF109" s="120">
        <f t="shared" si="92"/>
        <v>0</v>
      </c>
      <c r="BG109" s="120">
        <f t="shared" si="92"/>
        <v>0</v>
      </c>
      <c r="BH109" s="120">
        <f t="shared" si="92"/>
        <v>0</v>
      </c>
      <c r="BI109" s="120">
        <f t="shared" si="92"/>
        <v>0</v>
      </c>
      <c r="BJ109" s="120">
        <f t="shared" si="92"/>
        <v>0</v>
      </c>
      <c r="BK109" s="120">
        <f t="shared" si="92"/>
        <v>0</v>
      </c>
      <c r="BL109" s="120">
        <f t="shared" si="92"/>
        <v>0</v>
      </c>
      <c r="BM109" s="120">
        <f t="shared" si="92"/>
        <v>0</v>
      </c>
      <c r="BN109" s="120">
        <f t="shared" si="92"/>
        <v>0</v>
      </c>
      <c r="BO109" s="120">
        <f t="shared" si="92"/>
        <v>0</v>
      </c>
      <c r="BP109" s="120">
        <f t="shared" si="92"/>
        <v>0</v>
      </c>
      <c r="BR109" s="127">
        <f t="shared" si="72"/>
        <v>0</v>
      </c>
      <c r="BS109" s="127">
        <f t="shared" si="76"/>
        <v>0</v>
      </c>
      <c r="BT109" s="127">
        <f t="shared" si="77"/>
        <v>0</v>
      </c>
      <c r="BY109" s="127">
        <f t="shared" si="85"/>
        <v>0</v>
      </c>
      <c r="BZ109" s="127">
        <f t="shared" si="86"/>
        <v>0</v>
      </c>
      <c r="CA109" s="127">
        <f t="shared" si="87"/>
        <v>0</v>
      </c>
    </row>
    <row r="110" spans="12:79" ht="25.2" customHeight="1" x14ac:dyDescent="0.3">
      <c r="L110" s="6"/>
      <c r="M110" s="125">
        <v>4</v>
      </c>
      <c r="N110" s="125">
        <v>7</v>
      </c>
      <c r="O110" s="71" t="s">
        <v>62</v>
      </c>
      <c r="P110" s="2">
        <f t="shared" si="88"/>
        <v>6</v>
      </c>
      <c r="Q110" s="2">
        <f t="shared" si="88"/>
        <v>33</v>
      </c>
      <c r="R110" s="2">
        <f t="shared" si="88"/>
        <v>0</v>
      </c>
      <c r="S110" s="2">
        <f t="shared" si="88"/>
        <v>24</v>
      </c>
      <c r="T110" s="2">
        <f t="shared" si="88"/>
        <v>8</v>
      </c>
      <c r="U110" s="2">
        <f t="shared" si="88"/>
        <v>0</v>
      </c>
      <c r="V110" s="2">
        <f t="shared" si="88"/>
        <v>0</v>
      </c>
      <c r="W110" s="2">
        <f t="shared" si="88"/>
        <v>0</v>
      </c>
      <c r="X110" s="2">
        <f t="shared" si="88"/>
        <v>0</v>
      </c>
      <c r="Y110" s="2">
        <f t="shared" si="88"/>
        <v>0</v>
      </c>
      <c r="Z110" s="120">
        <f t="shared" si="89"/>
        <v>0</v>
      </c>
      <c r="AA110" s="120">
        <f t="shared" si="89"/>
        <v>0</v>
      </c>
      <c r="AB110" s="120">
        <f t="shared" si="89"/>
        <v>0</v>
      </c>
      <c r="AC110" s="120">
        <f t="shared" si="89"/>
        <v>0</v>
      </c>
      <c r="AD110" s="120">
        <f t="shared" si="89"/>
        <v>0</v>
      </c>
      <c r="AE110" s="120">
        <f t="shared" si="89"/>
        <v>0</v>
      </c>
      <c r="AF110" s="120">
        <f t="shared" si="89"/>
        <v>0</v>
      </c>
      <c r="AG110" s="120">
        <f t="shared" si="89"/>
        <v>0</v>
      </c>
      <c r="AH110" s="120">
        <f t="shared" si="89"/>
        <v>0</v>
      </c>
      <c r="AI110" s="120">
        <f t="shared" si="89"/>
        <v>0</v>
      </c>
      <c r="AJ110" s="120">
        <f t="shared" si="90"/>
        <v>0</v>
      </c>
      <c r="AK110" s="120">
        <f t="shared" si="90"/>
        <v>0</v>
      </c>
      <c r="AL110" s="120">
        <f t="shared" si="90"/>
        <v>0</v>
      </c>
      <c r="AM110" s="120">
        <f t="shared" si="90"/>
        <v>0</v>
      </c>
      <c r="AN110" s="120">
        <f t="shared" si="90"/>
        <v>0</v>
      </c>
      <c r="AO110" s="120">
        <f t="shared" si="90"/>
        <v>0</v>
      </c>
      <c r="AP110" s="120">
        <f t="shared" si="90"/>
        <v>0</v>
      </c>
      <c r="AQ110" s="120">
        <f t="shared" si="90"/>
        <v>0</v>
      </c>
      <c r="AR110" s="120">
        <f t="shared" si="90"/>
        <v>0</v>
      </c>
      <c r="AS110" s="120">
        <f t="shared" si="90"/>
        <v>0.32400000000000001</v>
      </c>
      <c r="AT110" s="120">
        <f t="shared" si="91"/>
        <v>1.782</v>
      </c>
      <c r="AU110" s="120">
        <f t="shared" si="91"/>
        <v>0</v>
      </c>
      <c r="AV110" s="120">
        <f t="shared" si="91"/>
        <v>1.92</v>
      </c>
      <c r="AW110" s="120">
        <f t="shared" si="91"/>
        <v>0.8</v>
      </c>
      <c r="AX110" s="120">
        <f t="shared" si="91"/>
        <v>4.8259999999999996</v>
      </c>
      <c r="AY110" s="120">
        <f t="shared" si="91"/>
        <v>2</v>
      </c>
      <c r="AZ110" s="120">
        <f t="shared" si="91"/>
        <v>4.8260000000000005</v>
      </c>
      <c r="BA110" s="120">
        <f t="shared" si="91"/>
        <v>0</v>
      </c>
      <c r="BB110" s="120">
        <f t="shared" si="91"/>
        <v>0</v>
      </c>
      <c r="BC110" s="120">
        <f t="shared" si="91"/>
        <v>0</v>
      </c>
      <c r="BD110" s="120">
        <f t="shared" si="92"/>
        <v>0</v>
      </c>
      <c r="BE110" s="120">
        <f t="shared" si="92"/>
        <v>0</v>
      </c>
      <c r="BF110" s="120">
        <f t="shared" si="92"/>
        <v>0</v>
      </c>
      <c r="BG110" s="120">
        <f t="shared" si="92"/>
        <v>0</v>
      </c>
      <c r="BH110" s="120">
        <f t="shared" si="92"/>
        <v>0</v>
      </c>
      <c r="BI110" s="120">
        <f t="shared" si="92"/>
        <v>0</v>
      </c>
      <c r="BJ110" s="120">
        <f t="shared" si="92"/>
        <v>0</v>
      </c>
      <c r="BK110" s="120">
        <f t="shared" si="92"/>
        <v>0</v>
      </c>
      <c r="BL110" s="120">
        <f t="shared" si="92"/>
        <v>0</v>
      </c>
      <c r="BM110" s="120">
        <f t="shared" si="92"/>
        <v>0</v>
      </c>
      <c r="BN110" s="120">
        <f t="shared" si="92"/>
        <v>0</v>
      </c>
      <c r="BO110" s="120">
        <f t="shared" si="92"/>
        <v>0</v>
      </c>
      <c r="BP110" s="120">
        <f t="shared" si="92"/>
        <v>0</v>
      </c>
      <c r="BR110" s="127">
        <f t="shared" si="72"/>
        <v>0</v>
      </c>
      <c r="BS110" s="127">
        <f t="shared" si="76"/>
        <v>0</v>
      </c>
      <c r="BT110" s="127">
        <f t="shared" si="77"/>
        <v>4.8259999999999996</v>
      </c>
      <c r="BY110" s="127">
        <f t="shared" si="85"/>
        <v>0</v>
      </c>
      <c r="BZ110" s="127">
        <f t="shared" si="86"/>
        <v>0</v>
      </c>
      <c r="CA110" s="127">
        <f t="shared" si="87"/>
        <v>0</v>
      </c>
    </row>
    <row r="111" spans="12:79" ht="25.2" customHeight="1" x14ac:dyDescent="0.3">
      <c r="L111" s="6"/>
      <c r="M111" s="125">
        <v>4</v>
      </c>
      <c r="N111" s="125">
        <v>7</v>
      </c>
      <c r="O111" s="71" t="s">
        <v>66</v>
      </c>
      <c r="P111" s="2">
        <f t="shared" si="88"/>
        <v>84</v>
      </c>
      <c r="Q111" s="2">
        <f t="shared" si="88"/>
        <v>215</v>
      </c>
      <c r="R111" s="2">
        <f t="shared" si="88"/>
        <v>13</v>
      </c>
      <c r="S111" s="2">
        <f t="shared" si="88"/>
        <v>0</v>
      </c>
      <c r="T111" s="2">
        <f t="shared" si="88"/>
        <v>0</v>
      </c>
      <c r="U111" s="2">
        <f t="shared" si="88"/>
        <v>0</v>
      </c>
      <c r="V111" s="2">
        <f t="shared" si="88"/>
        <v>0</v>
      </c>
      <c r="W111" s="2">
        <f t="shared" si="88"/>
        <v>0</v>
      </c>
      <c r="X111" s="2">
        <f t="shared" si="88"/>
        <v>0</v>
      </c>
      <c r="Y111" s="2">
        <f t="shared" si="88"/>
        <v>0</v>
      </c>
      <c r="Z111" s="120">
        <f t="shared" si="89"/>
        <v>0</v>
      </c>
      <c r="AA111" s="120">
        <f t="shared" si="89"/>
        <v>0</v>
      </c>
      <c r="AB111" s="120">
        <f t="shared" si="89"/>
        <v>0</v>
      </c>
      <c r="AC111" s="120">
        <f t="shared" si="89"/>
        <v>0</v>
      </c>
      <c r="AD111" s="120">
        <f t="shared" si="89"/>
        <v>0</v>
      </c>
      <c r="AE111" s="120">
        <f t="shared" si="89"/>
        <v>0</v>
      </c>
      <c r="AF111" s="120">
        <f t="shared" si="89"/>
        <v>0</v>
      </c>
      <c r="AG111" s="120">
        <f t="shared" si="89"/>
        <v>0</v>
      </c>
      <c r="AH111" s="120">
        <f t="shared" si="89"/>
        <v>0</v>
      </c>
      <c r="AI111" s="120">
        <f t="shared" si="89"/>
        <v>0</v>
      </c>
      <c r="AJ111" s="120">
        <f t="shared" si="90"/>
        <v>0</v>
      </c>
      <c r="AK111" s="120">
        <f t="shared" si="90"/>
        <v>0</v>
      </c>
      <c r="AL111" s="120">
        <f t="shared" si="90"/>
        <v>0</v>
      </c>
      <c r="AM111" s="120">
        <f t="shared" si="90"/>
        <v>0</v>
      </c>
      <c r="AN111" s="120">
        <f t="shared" si="90"/>
        <v>0</v>
      </c>
      <c r="AO111" s="120">
        <f t="shared" si="90"/>
        <v>0</v>
      </c>
      <c r="AP111" s="120">
        <f t="shared" si="90"/>
        <v>0</v>
      </c>
      <c r="AQ111" s="120">
        <f t="shared" si="90"/>
        <v>0</v>
      </c>
      <c r="AR111" s="120">
        <f t="shared" si="90"/>
        <v>0</v>
      </c>
      <c r="AS111" s="120">
        <f t="shared" si="90"/>
        <v>4.5359999999999996</v>
      </c>
      <c r="AT111" s="120">
        <f t="shared" si="91"/>
        <v>11.61</v>
      </c>
      <c r="AU111" s="120">
        <f t="shared" si="91"/>
        <v>0.84499999999999997</v>
      </c>
      <c r="AV111" s="120">
        <f t="shared" si="91"/>
        <v>0</v>
      </c>
      <c r="AW111" s="120">
        <f t="shared" si="91"/>
        <v>0</v>
      </c>
      <c r="AX111" s="120">
        <f t="shared" si="91"/>
        <v>16.991</v>
      </c>
      <c r="AY111" s="120">
        <f t="shared" si="91"/>
        <v>4</v>
      </c>
      <c r="AZ111" s="120">
        <f t="shared" si="91"/>
        <v>11.429000000000002</v>
      </c>
      <c r="BA111" s="120">
        <f t="shared" si="91"/>
        <v>0</v>
      </c>
      <c r="BB111" s="120">
        <f t="shared" si="91"/>
        <v>0</v>
      </c>
      <c r="BC111" s="120">
        <f t="shared" si="91"/>
        <v>0</v>
      </c>
      <c r="BD111" s="120">
        <f t="shared" si="92"/>
        <v>0</v>
      </c>
      <c r="BE111" s="120">
        <f t="shared" si="92"/>
        <v>0</v>
      </c>
      <c r="BF111" s="120">
        <f t="shared" si="92"/>
        <v>0</v>
      </c>
      <c r="BG111" s="120">
        <f t="shared" si="92"/>
        <v>0</v>
      </c>
      <c r="BH111" s="120">
        <f t="shared" si="92"/>
        <v>0</v>
      </c>
      <c r="BI111" s="120">
        <f t="shared" si="92"/>
        <v>0</v>
      </c>
      <c r="BJ111" s="120">
        <f t="shared" si="92"/>
        <v>0</v>
      </c>
      <c r="BK111" s="120">
        <f t="shared" si="92"/>
        <v>0</v>
      </c>
      <c r="BL111" s="120">
        <f t="shared" si="92"/>
        <v>0</v>
      </c>
      <c r="BM111" s="120">
        <f t="shared" si="92"/>
        <v>0</v>
      </c>
      <c r="BN111" s="120">
        <f t="shared" si="92"/>
        <v>0</v>
      </c>
      <c r="BO111" s="120">
        <f t="shared" si="92"/>
        <v>0</v>
      </c>
      <c r="BP111" s="120">
        <f t="shared" si="92"/>
        <v>0</v>
      </c>
      <c r="BR111" s="127">
        <f t="shared" si="72"/>
        <v>0</v>
      </c>
      <c r="BS111" s="127">
        <f t="shared" si="76"/>
        <v>0</v>
      </c>
      <c r="BT111" s="127">
        <f t="shared" si="77"/>
        <v>16.991</v>
      </c>
      <c r="BY111" s="127">
        <f t="shared" si="85"/>
        <v>0</v>
      </c>
      <c r="BZ111" s="127">
        <f t="shared" si="86"/>
        <v>0</v>
      </c>
      <c r="CA111" s="127">
        <f t="shared" si="87"/>
        <v>0</v>
      </c>
    </row>
    <row r="112" spans="12:79" ht="25.2" customHeight="1" x14ac:dyDescent="0.3">
      <c r="L112" s="6"/>
      <c r="M112" s="125">
        <v>4</v>
      </c>
      <c r="N112" s="125">
        <v>7</v>
      </c>
      <c r="O112" s="71" t="s">
        <v>67</v>
      </c>
      <c r="P112" s="2">
        <f t="shared" si="88"/>
        <v>17</v>
      </c>
      <c r="Q112" s="2">
        <f t="shared" si="88"/>
        <v>398</v>
      </c>
      <c r="R112" s="2">
        <f t="shared" si="88"/>
        <v>10</v>
      </c>
      <c r="S112" s="2">
        <f t="shared" si="88"/>
        <v>35</v>
      </c>
      <c r="T112" s="2">
        <f t="shared" si="88"/>
        <v>15</v>
      </c>
      <c r="U112" s="2">
        <f t="shared" si="88"/>
        <v>0</v>
      </c>
      <c r="V112" s="2">
        <f t="shared" si="88"/>
        <v>0</v>
      </c>
      <c r="W112" s="2">
        <f t="shared" si="88"/>
        <v>0</v>
      </c>
      <c r="X112" s="2">
        <f t="shared" si="88"/>
        <v>0</v>
      </c>
      <c r="Y112" s="2">
        <f t="shared" si="88"/>
        <v>0</v>
      </c>
      <c r="Z112" s="120">
        <f t="shared" si="89"/>
        <v>0</v>
      </c>
      <c r="AA112" s="120">
        <f t="shared" si="89"/>
        <v>0</v>
      </c>
      <c r="AB112" s="120">
        <f t="shared" si="89"/>
        <v>0</v>
      </c>
      <c r="AC112" s="120">
        <f t="shared" si="89"/>
        <v>0</v>
      </c>
      <c r="AD112" s="120">
        <f t="shared" si="89"/>
        <v>0</v>
      </c>
      <c r="AE112" s="120">
        <f t="shared" si="89"/>
        <v>0</v>
      </c>
      <c r="AF112" s="120">
        <f t="shared" si="89"/>
        <v>0</v>
      </c>
      <c r="AG112" s="120">
        <f t="shared" si="89"/>
        <v>0</v>
      </c>
      <c r="AH112" s="120">
        <f t="shared" si="89"/>
        <v>0</v>
      </c>
      <c r="AI112" s="120">
        <f t="shared" si="89"/>
        <v>0</v>
      </c>
      <c r="AJ112" s="120">
        <f t="shared" si="90"/>
        <v>0</v>
      </c>
      <c r="AK112" s="120">
        <f t="shared" si="90"/>
        <v>0</v>
      </c>
      <c r="AL112" s="120">
        <f t="shared" si="90"/>
        <v>0</v>
      </c>
      <c r="AM112" s="120">
        <f t="shared" si="90"/>
        <v>0</v>
      </c>
      <c r="AN112" s="120">
        <f t="shared" si="90"/>
        <v>0</v>
      </c>
      <c r="AO112" s="120">
        <f t="shared" si="90"/>
        <v>0</v>
      </c>
      <c r="AP112" s="120">
        <f t="shared" si="90"/>
        <v>0</v>
      </c>
      <c r="AQ112" s="120">
        <f t="shared" si="90"/>
        <v>0</v>
      </c>
      <c r="AR112" s="120">
        <f t="shared" si="90"/>
        <v>0</v>
      </c>
      <c r="AS112" s="120">
        <f t="shared" si="90"/>
        <v>0.91800000000000004</v>
      </c>
      <c r="AT112" s="120">
        <f t="shared" si="91"/>
        <v>21.492000000000001</v>
      </c>
      <c r="AU112" s="120">
        <f t="shared" si="91"/>
        <v>0.65</v>
      </c>
      <c r="AV112" s="120">
        <f t="shared" si="91"/>
        <v>2.8</v>
      </c>
      <c r="AW112" s="120">
        <f t="shared" si="91"/>
        <v>1.5</v>
      </c>
      <c r="AX112" s="120">
        <f t="shared" si="91"/>
        <v>27.360000000000003</v>
      </c>
      <c r="AY112" s="120">
        <f t="shared" si="91"/>
        <v>5</v>
      </c>
      <c r="AZ112" s="120">
        <f t="shared" si="91"/>
        <v>20.755000000000003</v>
      </c>
      <c r="BA112" s="120">
        <f t="shared" si="91"/>
        <v>0</v>
      </c>
      <c r="BB112" s="120">
        <f t="shared" si="91"/>
        <v>0</v>
      </c>
      <c r="BC112" s="120">
        <f t="shared" si="91"/>
        <v>0</v>
      </c>
      <c r="BD112" s="120">
        <f t="shared" si="92"/>
        <v>0</v>
      </c>
      <c r="BE112" s="120">
        <f t="shared" si="92"/>
        <v>0</v>
      </c>
      <c r="BF112" s="120">
        <f t="shared" si="92"/>
        <v>0</v>
      </c>
      <c r="BG112" s="120">
        <f t="shared" si="92"/>
        <v>0</v>
      </c>
      <c r="BH112" s="120">
        <f t="shared" si="92"/>
        <v>0</v>
      </c>
      <c r="BI112" s="120">
        <f t="shared" si="92"/>
        <v>0</v>
      </c>
      <c r="BJ112" s="120">
        <f t="shared" si="92"/>
        <v>0</v>
      </c>
      <c r="BK112" s="120">
        <f t="shared" si="92"/>
        <v>0</v>
      </c>
      <c r="BL112" s="120">
        <f t="shared" si="92"/>
        <v>0</v>
      </c>
      <c r="BM112" s="120">
        <f t="shared" si="92"/>
        <v>0</v>
      </c>
      <c r="BN112" s="120">
        <f t="shared" si="92"/>
        <v>0</v>
      </c>
      <c r="BO112" s="120">
        <f t="shared" si="92"/>
        <v>0</v>
      </c>
      <c r="BP112" s="120">
        <f t="shared" si="92"/>
        <v>0</v>
      </c>
      <c r="BR112" s="127">
        <f t="shared" si="72"/>
        <v>0</v>
      </c>
      <c r="BS112" s="127">
        <f t="shared" si="76"/>
        <v>0</v>
      </c>
      <c r="BT112" s="127">
        <f t="shared" si="77"/>
        <v>27.360000000000003</v>
      </c>
      <c r="BY112" s="127">
        <f t="shared" si="85"/>
        <v>0</v>
      </c>
      <c r="BZ112" s="127">
        <f t="shared" si="86"/>
        <v>0</v>
      </c>
      <c r="CA112" s="127">
        <f t="shared" si="87"/>
        <v>0</v>
      </c>
    </row>
    <row r="113" spans="12:79" ht="25.2" customHeight="1" x14ac:dyDescent="0.3">
      <c r="L113" s="6"/>
      <c r="M113" s="125">
        <v>4</v>
      </c>
      <c r="N113" s="125">
        <v>7</v>
      </c>
      <c r="O113" s="71" t="s">
        <v>63</v>
      </c>
      <c r="P113" s="2">
        <f t="shared" si="88"/>
        <v>62</v>
      </c>
      <c r="Q113" s="2">
        <f t="shared" si="88"/>
        <v>436</v>
      </c>
      <c r="R113" s="2">
        <f t="shared" si="88"/>
        <v>20</v>
      </c>
      <c r="S113" s="2">
        <f t="shared" si="88"/>
        <v>20</v>
      </c>
      <c r="T113" s="2">
        <f t="shared" si="88"/>
        <v>0</v>
      </c>
      <c r="U113" s="2">
        <f t="shared" si="88"/>
        <v>0</v>
      </c>
      <c r="V113" s="2">
        <f t="shared" si="88"/>
        <v>0</v>
      </c>
      <c r="W113" s="2">
        <f t="shared" si="88"/>
        <v>0</v>
      </c>
      <c r="X113" s="2">
        <f t="shared" si="88"/>
        <v>0</v>
      </c>
      <c r="Y113" s="2">
        <f t="shared" si="88"/>
        <v>0</v>
      </c>
      <c r="Z113" s="120">
        <f t="shared" si="89"/>
        <v>0</v>
      </c>
      <c r="AA113" s="120">
        <f t="shared" si="89"/>
        <v>0</v>
      </c>
      <c r="AB113" s="120">
        <f t="shared" si="89"/>
        <v>0</v>
      </c>
      <c r="AC113" s="120">
        <f t="shared" si="89"/>
        <v>0</v>
      </c>
      <c r="AD113" s="120">
        <f t="shared" si="89"/>
        <v>0</v>
      </c>
      <c r="AE113" s="120">
        <f t="shared" si="89"/>
        <v>0</v>
      </c>
      <c r="AF113" s="120">
        <f t="shared" si="89"/>
        <v>0</v>
      </c>
      <c r="AG113" s="120">
        <f t="shared" si="89"/>
        <v>0</v>
      </c>
      <c r="AH113" s="120">
        <f t="shared" si="89"/>
        <v>0</v>
      </c>
      <c r="AI113" s="120">
        <f t="shared" si="89"/>
        <v>0</v>
      </c>
      <c r="AJ113" s="120">
        <f t="shared" si="90"/>
        <v>0</v>
      </c>
      <c r="AK113" s="120">
        <f t="shared" si="90"/>
        <v>0</v>
      </c>
      <c r="AL113" s="120">
        <f t="shared" si="90"/>
        <v>0</v>
      </c>
      <c r="AM113" s="120">
        <f t="shared" si="90"/>
        <v>0</v>
      </c>
      <c r="AN113" s="120">
        <f t="shared" si="90"/>
        <v>0</v>
      </c>
      <c r="AO113" s="120">
        <f t="shared" si="90"/>
        <v>0</v>
      </c>
      <c r="AP113" s="120">
        <f t="shared" si="90"/>
        <v>0</v>
      </c>
      <c r="AQ113" s="120">
        <f t="shared" si="90"/>
        <v>0</v>
      </c>
      <c r="AR113" s="120">
        <f t="shared" si="90"/>
        <v>0</v>
      </c>
      <c r="AS113" s="120">
        <f t="shared" si="90"/>
        <v>3.3479999999999999</v>
      </c>
      <c r="AT113" s="120">
        <f t="shared" si="91"/>
        <v>23.544</v>
      </c>
      <c r="AU113" s="120">
        <f t="shared" si="91"/>
        <v>1.3</v>
      </c>
      <c r="AV113" s="120">
        <f t="shared" si="91"/>
        <v>1.6</v>
      </c>
      <c r="AW113" s="120">
        <f t="shared" si="91"/>
        <v>0</v>
      </c>
      <c r="AX113" s="120">
        <f t="shared" si="91"/>
        <v>29.792000000000002</v>
      </c>
      <c r="AY113" s="120">
        <f t="shared" si="91"/>
        <v>6</v>
      </c>
      <c r="AZ113" s="120">
        <f t="shared" si="91"/>
        <v>21.448999999999998</v>
      </c>
      <c r="BA113" s="120">
        <f t="shared" si="91"/>
        <v>0</v>
      </c>
      <c r="BB113" s="120">
        <f t="shared" si="91"/>
        <v>0</v>
      </c>
      <c r="BC113" s="120">
        <f t="shared" si="91"/>
        <v>0</v>
      </c>
      <c r="BD113" s="120">
        <f t="shared" si="92"/>
        <v>0</v>
      </c>
      <c r="BE113" s="120">
        <f t="shared" si="92"/>
        <v>0</v>
      </c>
      <c r="BF113" s="120">
        <f t="shared" si="92"/>
        <v>0</v>
      </c>
      <c r="BG113" s="120">
        <f t="shared" si="92"/>
        <v>0</v>
      </c>
      <c r="BH113" s="120">
        <f t="shared" si="92"/>
        <v>0</v>
      </c>
      <c r="BI113" s="120">
        <f t="shared" si="92"/>
        <v>0</v>
      </c>
      <c r="BJ113" s="120">
        <f t="shared" si="92"/>
        <v>0</v>
      </c>
      <c r="BK113" s="120">
        <f t="shared" si="92"/>
        <v>0</v>
      </c>
      <c r="BL113" s="120">
        <f t="shared" si="92"/>
        <v>0</v>
      </c>
      <c r="BM113" s="120">
        <f t="shared" si="92"/>
        <v>0</v>
      </c>
      <c r="BN113" s="120">
        <f t="shared" si="92"/>
        <v>0</v>
      </c>
      <c r="BO113" s="120">
        <f t="shared" si="92"/>
        <v>0</v>
      </c>
      <c r="BP113" s="120">
        <f t="shared" si="92"/>
        <v>0</v>
      </c>
      <c r="BR113" s="127">
        <f t="shared" si="72"/>
        <v>0</v>
      </c>
      <c r="BS113" s="127">
        <f t="shared" si="76"/>
        <v>0</v>
      </c>
      <c r="BT113" s="127">
        <f t="shared" si="77"/>
        <v>29.792000000000002</v>
      </c>
      <c r="BY113" s="127">
        <f t="shared" si="85"/>
        <v>0</v>
      </c>
      <c r="BZ113" s="127">
        <f t="shared" si="86"/>
        <v>0</v>
      </c>
      <c r="CA113" s="127">
        <f t="shared" si="87"/>
        <v>0</v>
      </c>
    </row>
    <row r="114" spans="12:79" ht="25.2" customHeight="1" x14ac:dyDescent="0.3">
      <c r="L114" s="6"/>
      <c r="N114" s="125"/>
      <c r="O114" s="71">
        <f t="shared" ref="O114:O120" si="93">+N114</f>
        <v>0</v>
      </c>
      <c r="P114" s="2">
        <f t="shared" si="88"/>
        <v>0</v>
      </c>
      <c r="Q114" s="2">
        <f t="shared" si="88"/>
        <v>0</v>
      </c>
      <c r="R114" s="2">
        <f t="shared" si="88"/>
        <v>0</v>
      </c>
      <c r="S114" s="2">
        <f t="shared" si="88"/>
        <v>0</v>
      </c>
      <c r="T114" s="2">
        <f t="shared" si="88"/>
        <v>0</v>
      </c>
      <c r="U114" s="2">
        <f t="shared" si="88"/>
        <v>0</v>
      </c>
      <c r="V114" s="2">
        <f t="shared" si="88"/>
        <v>0</v>
      </c>
      <c r="W114" s="2">
        <f t="shared" si="88"/>
        <v>0</v>
      </c>
      <c r="X114" s="2">
        <f t="shared" si="88"/>
        <v>0</v>
      </c>
      <c r="Y114" s="2">
        <f t="shared" si="88"/>
        <v>0</v>
      </c>
      <c r="Z114" s="120">
        <f t="shared" si="89"/>
        <v>0</v>
      </c>
      <c r="AA114" s="120">
        <f t="shared" si="89"/>
        <v>0</v>
      </c>
      <c r="AB114" s="120">
        <f t="shared" si="89"/>
        <v>0</v>
      </c>
      <c r="AC114" s="120">
        <f t="shared" si="89"/>
        <v>0</v>
      </c>
      <c r="AD114" s="120">
        <f t="shared" si="89"/>
        <v>0</v>
      </c>
      <c r="AE114" s="120">
        <f t="shared" si="89"/>
        <v>0</v>
      </c>
      <c r="AF114" s="120">
        <f t="shared" si="89"/>
        <v>0</v>
      </c>
      <c r="AG114" s="120">
        <f t="shared" si="89"/>
        <v>0</v>
      </c>
      <c r="AH114" s="120">
        <f t="shared" si="89"/>
        <v>0</v>
      </c>
      <c r="AI114" s="120">
        <f t="shared" si="89"/>
        <v>0</v>
      </c>
      <c r="AJ114" s="120">
        <f t="shared" si="90"/>
        <v>0</v>
      </c>
      <c r="AK114" s="120">
        <f t="shared" si="90"/>
        <v>0</v>
      </c>
      <c r="AL114" s="120">
        <f t="shared" si="90"/>
        <v>0</v>
      </c>
      <c r="AM114" s="120">
        <f t="shared" si="90"/>
        <v>0</v>
      </c>
      <c r="AN114" s="120">
        <f t="shared" si="90"/>
        <v>0</v>
      </c>
      <c r="AO114" s="120">
        <f t="shared" si="90"/>
        <v>0</v>
      </c>
      <c r="AP114" s="120">
        <f t="shared" si="90"/>
        <v>0</v>
      </c>
      <c r="AQ114" s="120">
        <f t="shared" si="90"/>
        <v>0</v>
      </c>
      <c r="AR114" s="120">
        <f t="shared" si="90"/>
        <v>0</v>
      </c>
      <c r="AS114" s="120">
        <f t="shared" si="90"/>
        <v>0</v>
      </c>
      <c r="AT114" s="120">
        <f t="shared" si="91"/>
        <v>0</v>
      </c>
      <c r="AU114" s="120">
        <f t="shared" si="91"/>
        <v>0</v>
      </c>
      <c r="AV114" s="120">
        <f t="shared" si="91"/>
        <v>0</v>
      </c>
      <c r="AW114" s="120">
        <f t="shared" si="91"/>
        <v>0</v>
      </c>
      <c r="AX114" s="120">
        <f t="shared" si="91"/>
        <v>0</v>
      </c>
      <c r="AY114" s="120">
        <f t="shared" si="91"/>
        <v>0</v>
      </c>
      <c r="AZ114" s="120">
        <f t="shared" si="91"/>
        <v>0</v>
      </c>
      <c r="BA114" s="120">
        <f t="shared" si="91"/>
        <v>0</v>
      </c>
      <c r="BB114" s="120">
        <f t="shared" si="91"/>
        <v>0</v>
      </c>
      <c r="BC114" s="120">
        <f t="shared" si="91"/>
        <v>0</v>
      </c>
      <c r="BD114" s="120">
        <f t="shared" si="92"/>
        <v>0</v>
      </c>
      <c r="BE114" s="120">
        <f t="shared" si="92"/>
        <v>0</v>
      </c>
      <c r="BF114" s="120">
        <f t="shared" si="92"/>
        <v>0</v>
      </c>
      <c r="BG114" s="120">
        <f t="shared" si="92"/>
        <v>0</v>
      </c>
      <c r="BH114" s="120">
        <f t="shared" si="92"/>
        <v>0</v>
      </c>
      <c r="BI114" s="120">
        <f t="shared" si="92"/>
        <v>0</v>
      </c>
      <c r="BJ114" s="120">
        <f t="shared" si="92"/>
        <v>0</v>
      </c>
      <c r="BK114" s="120">
        <f t="shared" si="92"/>
        <v>0</v>
      </c>
      <c r="BL114" s="120">
        <f t="shared" si="92"/>
        <v>0</v>
      </c>
      <c r="BM114" s="120">
        <f t="shared" si="92"/>
        <v>0</v>
      </c>
      <c r="BN114" s="120">
        <f t="shared" si="92"/>
        <v>0</v>
      </c>
      <c r="BO114" s="120">
        <f t="shared" si="92"/>
        <v>0</v>
      </c>
      <c r="BP114" s="120">
        <f t="shared" si="92"/>
        <v>0</v>
      </c>
      <c r="BR114" s="127">
        <f t="shared" si="72"/>
        <v>0</v>
      </c>
      <c r="BS114" s="127">
        <f t="shared" si="76"/>
        <v>0</v>
      </c>
      <c r="BT114" s="127">
        <f t="shared" si="77"/>
        <v>0</v>
      </c>
      <c r="BY114" s="127">
        <f t="shared" si="85"/>
        <v>0</v>
      </c>
      <c r="BZ114" s="127">
        <f t="shared" si="86"/>
        <v>0</v>
      </c>
      <c r="CA114" s="127">
        <f t="shared" si="87"/>
        <v>0</v>
      </c>
    </row>
    <row r="115" spans="12:79" ht="25.2" customHeight="1" x14ac:dyDescent="0.3">
      <c r="L115" s="6"/>
      <c r="N115" s="125"/>
      <c r="O115" s="71">
        <f t="shared" si="93"/>
        <v>0</v>
      </c>
      <c r="P115" s="2">
        <f t="shared" ref="P115:Y120" si="94">+SUMIF($M$8:$M$77,$O115,P$8:P$77)</f>
        <v>0</v>
      </c>
      <c r="Q115" s="2">
        <f t="shared" si="94"/>
        <v>0</v>
      </c>
      <c r="R115" s="2">
        <f t="shared" si="94"/>
        <v>0</v>
      </c>
      <c r="S115" s="2">
        <f t="shared" si="94"/>
        <v>0</v>
      </c>
      <c r="T115" s="2">
        <f t="shared" si="94"/>
        <v>0</v>
      </c>
      <c r="U115" s="2">
        <f t="shared" si="94"/>
        <v>0</v>
      </c>
      <c r="V115" s="2">
        <f t="shared" si="94"/>
        <v>0</v>
      </c>
      <c r="W115" s="2">
        <f t="shared" si="94"/>
        <v>0</v>
      </c>
      <c r="X115" s="2">
        <f t="shared" si="94"/>
        <v>0</v>
      </c>
      <c r="Y115" s="2">
        <f t="shared" si="94"/>
        <v>0</v>
      </c>
      <c r="Z115" s="120">
        <f t="shared" ref="Z115:AI120" si="95">+SUMIF($M$8:$M$77,$O115,Z$8:Z$77)</f>
        <v>0</v>
      </c>
      <c r="AA115" s="120">
        <f t="shared" si="95"/>
        <v>0</v>
      </c>
      <c r="AB115" s="120">
        <f t="shared" si="95"/>
        <v>0</v>
      </c>
      <c r="AC115" s="120">
        <f t="shared" si="95"/>
        <v>0</v>
      </c>
      <c r="AD115" s="120">
        <f t="shared" si="95"/>
        <v>0</v>
      </c>
      <c r="AE115" s="120">
        <f t="shared" si="95"/>
        <v>0</v>
      </c>
      <c r="AF115" s="120">
        <f t="shared" si="95"/>
        <v>0</v>
      </c>
      <c r="AG115" s="120">
        <f t="shared" si="95"/>
        <v>0</v>
      </c>
      <c r="AH115" s="120">
        <f t="shared" si="95"/>
        <v>0</v>
      </c>
      <c r="AI115" s="120">
        <f t="shared" si="95"/>
        <v>0</v>
      </c>
      <c r="AJ115" s="120">
        <f t="shared" ref="AJ115:AS120" si="96">+SUMIF($M$8:$M$77,$O115,AJ$8:AJ$77)</f>
        <v>0</v>
      </c>
      <c r="AK115" s="120">
        <f t="shared" si="96"/>
        <v>0</v>
      </c>
      <c r="AL115" s="120">
        <f t="shared" si="96"/>
        <v>0</v>
      </c>
      <c r="AM115" s="120">
        <f t="shared" si="96"/>
        <v>0</v>
      </c>
      <c r="AN115" s="120">
        <f t="shared" si="96"/>
        <v>0</v>
      </c>
      <c r="AO115" s="120">
        <f t="shared" si="96"/>
        <v>0</v>
      </c>
      <c r="AP115" s="120">
        <f t="shared" si="96"/>
        <v>0</v>
      </c>
      <c r="AQ115" s="120">
        <f t="shared" si="96"/>
        <v>0</v>
      </c>
      <c r="AR115" s="120">
        <f t="shared" si="96"/>
        <v>0</v>
      </c>
      <c r="AS115" s="120">
        <f t="shared" si="96"/>
        <v>0</v>
      </c>
      <c r="AT115" s="120">
        <f t="shared" ref="AT115:BC120" si="97">+SUMIF($M$8:$M$77,$O115,AT$8:AT$77)</f>
        <v>0</v>
      </c>
      <c r="AU115" s="120">
        <f t="shared" si="97"/>
        <v>0</v>
      </c>
      <c r="AV115" s="120">
        <f t="shared" si="97"/>
        <v>0</v>
      </c>
      <c r="AW115" s="120">
        <f t="shared" si="97"/>
        <v>0</v>
      </c>
      <c r="AX115" s="120">
        <f t="shared" si="97"/>
        <v>0</v>
      </c>
      <c r="AY115" s="120">
        <f t="shared" si="97"/>
        <v>0</v>
      </c>
      <c r="AZ115" s="120">
        <f t="shared" si="97"/>
        <v>0</v>
      </c>
      <c r="BA115" s="120">
        <f t="shared" si="97"/>
        <v>0</v>
      </c>
      <c r="BB115" s="120">
        <f t="shared" si="97"/>
        <v>0</v>
      </c>
      <c r="BC115" s="120">
        <f t="shared" si="97"/>
        <v>0</v>
      </c>
      <c r="BD115" s="120">
        <f t="shared" ref="BD115:BP120" si="98">+SUMIF($M$8:$M$77,$O115,BD$8:BD$77)</f>
        <v>0</v>
      </c>
      <c r="BE115" s="120">
        <f t="shared" si="98"/>
        <v>0</v>
      </c>
      <c r="BF115" s="120">
        <f t="shared" si="98"/>
        <v>0</v>
      </c>
      <c r="BG115" s="120">
        <f t="shared" si="98"/>
        <v>0</v>
      </c>
      <c r="BH115" s="120">
        <f t="shared" si="98"/>
        <v>0</v>
      </c>
      <c r="BI115" s="120">
        <f t="shared" si="98"/>
        <v>0</v>
      </c>
      <c r="BJ115" s="120">
        <f t="shared" si="98"/>
        <v>0</v>
      </c>
      <c r="BK115" s="120">
        <f t="shared" si="98"/>
        <v>0</v>
      </c>
      <c r="BL115" s="120">
        <f t="shared" si="98"/>
        <v>0</v>
      </c>
      <c r="BM115" s="120">
        <f t="shared" si="98"/>
        <v>0</v>
      </c>
      <c r="BN115" s="120">
        <f t="shared" si="98"/>
        <v>0</v>
      </c>
      <c r="BO115" s="120">
        <f t="shared" si="98"/>
        <v>0</v>
      </c>
      <c r="BP115" s="120">
        <f t="shared" si="98"/>
        <v>0</v>
      </c>
      <c r="BR115" s="127">
        <f t="shared" si="72"/>
        <v>0</v>
      </c>
      <c r="BS115" s="127">
        <f t="shared" si="76"/>
        <v>0</v>
      </c>
      <c r="BT115" s="127">
        <f t="shared" si="77"/>
        <v>0</v>
      </c>
      <c r="BY115" s="127">
        <f t="shared" si="85"/>
        <v>0</v>
      </c>
      <c r="BZ115" s="127">
        <f t="shared" si="86"/>
        <v>0</v>
      </c>
      <c r="CA115" s="127">
        <f t="shared" si="87"/>
        <v>0</v>
      </c>
    </row>
    <row r="116" spans="12:79" ht="25.2" customHeight="1" x14ac:dyDescent="0.3">
      <c r="L116" s="6"/>
      <c r="N116" s="125"/>
      <c r="O116" s="71">
        <f t="shared" si="93"/>
        <v>0</v>
      </c>
      <c r="P116" s="2">
        <f t="shared" si="94"/>
        <v>0</v>
      </c>
      <c r="Q116" s="2">
        <f t="shared" si="94"/>
        <v>0</v>
      </c>
      <c r="R116" s="2">
        <f t="shared" si="94"/>
        <v>0</v>
      </c>
      <c r="S116" s="2">
        <f t="shared" si="94"/>
        <v>0</v>
      </c>
      <c r="T116" s="2">
        <f t="shared" si="94"/>
        <v>0</v>
      </c>
      <c r="U116" s="2">
        <f t="shared" si="94"/>
        <v>0</v>
      </c>
      <c r="V116" s="2">
        <f t="shared" si="94"/>
        <v>0</v>
      </c>
      <c r="W116" s="2">
        <f t="shared" si="94"/>
        <v>0</v>
      </c>
      <c r="X116" s="2">
        <f t="shared" si="94"/>
        <v>0</v>
      </c>
      <c r="Y116" s="2">
        <f t="shared" si="94"/>
        <v>0</v>
      </c>
      <c r="Z116" s="120">
        <f t="shared" si="95"/>
        <v>0</v>
      </c>
      <c r="AA116" s="120">
        <f t="shared" si="95"/>
        <v>0</v>
      </c>
      <c r="AB116" s="120">
        <f t="shared" si="95"/>
        <v>0</v>
      </c>
      <c r="AC116" s="120">
        <f t="shared" si="95"/>
        <v>0</v>
      </c>
      <c r="AD116" s="120">
        <f t="shared" si="95"/>
        <v>0</v>
      </c>
      <c r="AE116" s="120">
        <f t="shared" si="95"/>
        <v>0</v>
      </c>
      <c r="AF116" s="120">
        <f t="shared" si="95"/>
        <v>0</v>
      </c>
      <c r="AG116" s="120">
        <f t="shared" si="95"/>
        <v>0</v>
      </c>
      <c r="AH116" s="120">
        <f t="shared" si="95"/>
        <v>0</v>
      </c>
      <c r="AI116" s="120">
        <f t="shared" si="95"/>
        <v>0</v>
      </c>
      <c r="AJ116" s="120">
        <f t="shared" si="96"/>
        <v>0</v>
      </c>
      <c r="AK116" s="120">
        <f t="shared" si="96"/>
        <v>0</v>
      </c>
      <c r="AL116" s="120">
        <f t="shared" si="96"/>
        <v>0</v>
      </c>
      <c r="AM116" s="120">
        <f t="shared" si="96"/>
        <v>0</v>
      </c>
      <c r="AN116" s="120">
        <f t="shared" si="96"/>
        <v>0</v>
      </c>
      <c r="AO116" s="120">
        <f t="shared" si="96"/>
        <v>0</v>
      </c>
      <c r="AP116" s="120">
        <f t="shared" si="96"/>
        <v>0</v>
      </c>
      <c r="AQ116" s="120">
        <f t="shared" si="96"/>
        <v>0</v>
      </c>
      <c r="AR116" s="120">
        <f t="shared" si="96"/>
        <v>0</v>
      </c>
      <c r="AS116" s="120">
        <f t="shared" si="96"/>
        <v>0</v>
      </c>
      <c r="AT116" s="120">
        <f t="shared" si="97"/>
        <v>0</v>
      </c>
      <c r="AU116" s="120">
        <f t="shared" si="97"/>
        <v>0</v>
      </c>
      <c r="AV116" s="120">
        <f t="shared" si="97"/>
        <v>0</v>
      </c>
      <c r="AW116" s="120">
        <f t="shared" si="97"/>
        <v>0</v>
      </c>
      <c r="AX116" s="120">
        <f t="shared" si="97"/>
        <v>0</v>
      </c>
      <c r="AY116" s="120">
        <f t="shared" si="97"/>
        <v>0</v>
      </c>
      <c r="AZ116" s="120">
        <f t="shared" si="97"/>
        <v>0</v>
      </c>
      <c r="BA116" s="120">
        <f t="shared" si="97"/>
        <v>0</v>
      </c>
      <c r="BB116" s="120">
        <f t="shared" si="97"/>
        <v>0</v>
      </c>
      <c r="BC116" s="120">
        <f t="shared" si="97"/>
        <v>0</v>
      </c>
      <c r="BD116" s="120">
        <f t="shared" si="98"/>
        <v>0</v>
      </c>
      <c r="BE116" s="120">
        <f t="shared" si="98"/>
        <v>0</v>
      </c>
      <c r="BF116" s="120">
        <f t="shared" si="98"/>
        <v>0</v>
      </c>
      <c r="BG116" s="120">
        <f t="shared" si="98"/>
        <v>0</v>
      </c>
      <c r="BH116" s="120">
        <f t="shared" si="98"/>
        <v>0</v>
      </c>
      <c r="BI116" s="120">
        <f t="shared" si="98"/>
        <v>0</v>
      </c>
      <c r="BJ116" s="120">
        <f t="shared" si="98"/>
        <v>0</v>
      </c>
      <c r="BK116" s="120">
        <f t="shared" si="98"/>
        <v>0</v>
      </c>
      <c r="BL116" s="120">
        <f t="shared" si="98"/>
        <v>0</v>
      </c>
      <c r="BM116" s="120">
        <f t="shared" si="98"/>
        <v>0</v>
      </c>
      <c r="BN116" s="120">
        <f t="shared" si="98"/>
        <v>0</v>
      </c>
      <c r="BO116" s="120">
        <f t="shared" si="98"/>
        <v>0</v>
      </c>
      <c r="BP116" s="120">
        <f t="shared" si="98"/>
        <v>0</v>
      </c>
      <c r="BR116" s="127">
        <f t="shared" si="72"/>
        <v>0</v>
      </c>
      <c r="BS116" s="127">
        <f t="shared" si="76"/>
        <v>0</v>
      </c>
      <c r="BT116" s="127">
        <f t="shared" si="77"/>
        <v>0</v>
      </c>
      <c r="BY116" s="127">
        <f t="shared" si="85"/>
        <v>0</v>
      </c>
      <c r="BZ116" s="127">
        <f t="shared" si="86"/>
        <v>0</v>
      </c>
      <c r="CA116" s="127">
        <f t="shared" si="87"/>
        <v>0</v>
      </c>
    </row>
    <row r="117" spans="12:79" ht="25.2" customHeight="1" x14ac:dyDescent="0.3">
      <c r="L117" s="6"/>
      <c r="N117" s="125"/>
      <c r="O117" s="71">
        <f t="shared" si="93"/>
        <v>0</v>
      </c>
      <c r="P117" s="2">
        <f t="shared" si="94"/>
        <v>0</v>
      </c>
      <c r="Q117" s="2">
        <f t="shared" si="94"/>
        <v>0</v>
      </c>
      <c r="R117" s="2">
        <f t="shared" si="94"/>
        <v>0</v>
      </c>
      <c r="S117" s="2">
        <f t="shared" si="94"/>
        <v>0</v>
      </c>
      <c r="T117" s="2">
        <f t="shared" si="94"/>
        <v>0</v>
      </c>
      <c r="U117" s="2">
        <f t="shared" si="94"/>
        <v>0</v>
      </c>
      <c r="V117" s="2">
        <f t="shared" si="94"/>
        <v>0</v>
      </c>
      <c r="W117" s="2">
        <f t="shared" si="94"/>
        <v>0</v>
      </c>
      <c r="X117" s="2">
        <f t="shared" si="94"/>
        <v>0</v>
      </c>
      <c r="Y117" s="2">
        <f t="shared" si="94"/>
        <v>0</v>
      </c>
      <c r="Z117" s="120">
        <f t="shared" si="95"/>
        <v>0</v>
      </c>
      <c r="AA117" s="120">
        <f t="shared" si="95"/>
        <v>0</v>
      </c>
      <c r="AB117" s="120">
        <f t="shared" si="95"/>
        <v>0</v>
      </c>
      <c r="AC117" s="120">
        <f t="shared" si="95"/>
        <v>0</v>
      </c>
      <c r="AD117" s="120">
        <f t="shared" si="95"/>
        <v>0</v>
      </c>
      <c r="AE117" s="120">
        <f t="shared" si="95"/>
        <v>0</v>
      </c>
      <c r="AF117" s="120">
        <f t="shared" si="95"/>
        <v>0</v>
      </c>
      <c r="AG117" s="120">
        <f t="shared" si="95"/>
        <v>0</v>
      </c>
      <c r="AH117" s="120">
        <f t="shared" si="95"/>
        <v>0</v>
      </c>
      <c r="AI117" s="120">
        <f t="shared" si="95"/>
        <v>0</v>
      </c>
      <c r="AJ117" s="120">
        <f t="shared" si="96"/>
        <v>0</v>
      </c>
      <c r="AK117" s="120">
        <f t="shared" si="96"/>
        <v>0</v>
      </c>
      <c r="AL117" s="120">
        <f t="shared" si="96"/>
        <v>0</v>
      </c>
      <c r="AM117" s="120">
        <f t="shared" si="96"/>
        <v>0</v>
      </c>
      <c r="AN117" s="120">
        <f t="shared" si="96"/>
        <v>0</v>
      </c>
      <c r="AO117" s="120">
        <f t="shared" si="96"/>
        <v>0</v>
      </c>
      <c r="AP117" s="120">
        <f t="shared" si="96"/>
        <v>0</v>
      </c>
      <c r="AQ117" s="120">
        <f t="shared" si="96"/>
        <v>0</v>
      </c>
      <c r="AR117" s="120">
        <f t="shared" si="96"/>
        <v>0</v>
      </c>
      <c r="AS117" s="120">
        <f t="shared" si="96"/>
        <v>0</v>
      </c>
      <c r="AT117" s="120">
        <f t="shared" si="97"/>
        <v>0</v>
      </c>
      <c r="AU117" s="120">
        <f t="shared" si="97"/>
        <v>0</v>
      </c>
      <c r="AV117" s="120">
        <f t="shared" si="97"/>
        <v>0</v>
      </c>
      <c r="AW117" s="120">
        <f t="shared" si="97"/>
        <v>0</v>
      </c>
      <c r="AX117" s="120">
        <f t="shared" si="97"/>
        <v>0</v>
      </c>
      <c r="AY117" s="120">
        <f t="shared" si="97"/>
        <v>0</v>
      </c>
      <c r="AZ117" s="120">
        <f t="shared" si="97"/>
        <v>0</v>
      </c>
      <c r="BA117" s="120">
        <f t="shared" si="97"/>
        <v>0</v>
      </c>
      <c r="BB117" s="120">
        <f t="shared" si="97"/>
        <v>0</v>
      </c>
      <c r="BC117" s="120">
        <f t="shared" si="97"/>
        <v>0</v>
      </c>
      <c r="BD117" s="120">
        <f t="shared" si="98"/>
        <v>0</v>
      </c>
      <c r="BE117" s="120">
        <f t="shared" si="98"/>
        <v>0</v>
      </c>
      <c r="BF117" s="120">
        <f t="shared" si="98"/>
        <v>0</v>
      </c>
      <c r="BG117" s="120">
        <f t="shared" si="98"/>
        <v>0</v>
      </c>
      <c r="BH117" s="120">
        <f t="shared" si="98"/>
        <v>0</v>
      </c>
      <c r="BI117" s="120">
        <f t="shared" si="98"/>
        <v>0</v>
      </c>
      <c r="BJ117" s="120">
        <f t="shared" si="98"/>
        <v>0</v>
      </c>
      <c r="BK117" s="120">
        <f t="shared" si="98"/>
        <v>0</v>
      </c>
      <c r="BL117" s="120">
        <f t="shared" si="98"/>
        <v>0</v>
      </c>
      <c r="BM117" s="120">
        <f t="shared" si="98"/>
        <v>0</v>
      </c>
      <c r="BN117" s="120">
        <f t="shared" si="98"/>
        <v>0</v>
      </c>
      <c r="BO117" s="120">
        <f t="shared" si="98"/>
        <v>0</v>
      </c>
      <c r="BP117" s="120">
        <f t="shared" si="98"/>
        <v>0</v>
      </c>
      <c r="BR117" s="127">
        <f t="shared" si="72"/>
        <v>0</v>
      </c>
      <c r="BS117" s="127">
        <f t="shared" si="76"/>
        <v>0</v>
      </c>
      <c r="BT117" s="127">
        <f t="shared" si="77"/>
        <v>0</v>
      </c>
      <c r="BY117" s="127">
        <f t="shared" si="85"/>
        <v>0</v>
      </c>
      <c r="BZ117" s="127">
        <f t="shared" si="86"/>
        <v>0</v>
      </c>
      <c r="CA117" s="127">
        <f t="shared" si="87"/>
        <v>0</v>
      </c>
    </row>
    <row r="118" spans="12:79" ht="25.2" customHeight="1" x14ac:dyDescent="0.3">
      <c r="L118" s="6"/>
      <c r="N118" s="125"/>
      <c r="O118" s="71">
        <f t="shared" si="93"/>
        <v>0</v>
      </c>
      <c r="P118" s="2">
        <f t="shared" si="94"/>
        <v>0</v>
      </c>
      <c r="Q118" s="2">
        <f t="shared" si="94"/>
        <v>0</v>
      </c>
      <c r="R118" s="2">
        <f t="shared" si="94"/>
        <v>0</v>
      </c>
      <c r="S118" s="2">
        <f t="shared" si="94"/>
        <v>0</v>
      </c>
      <c r="T118" s="2">
        <f t="shared" si="94"/>
        <v>0</v>
      </c>
      <c r="U118" s="2">
        <f t="shared" si="94"/>
        <v>0</v>
      </c>
      <c r="V118" s="2">
        <f t="shared" si="94"/>
        <v>0</v>
      </c>
      <c r="W118" s="2">
        <f t="shared" si="94"/>
        <v>0</v>
      </c>
      <c r="X118" s="2">
        <f t="shared" si="94"/>
        <v>0</v>
      </c>
      <c r="Y118" s="2">
        <f t="shared" si="94"/>
        <v>0</v>
      </c>
      <c r="Z118" s="120">
        <f t="shared" si="95"/>
        <v>0</v>
      </c>
      <c r="AA118" s="120">
        <f t="shared" si="95"/>
        <v>0</v>
      </c>
      <c r="AB118" s="120">
        <f t="shared" si="95"/>
        <v>0</v>
      </c>
      <c r="AC118" s="120">
        <f t="shared" si="95"/>
        <v>0</v>
      </c>
      <c r="AD118" s="120">
        <f t="shared" si="95"/>
        <v>0</v>
      </c>
      <c r="AE118" s="120">
        <f t="shared" si="95"/>
        <v>0</v>
      </c>
      <c r="AF118" s="120">
        <f t="shared" si="95"/>
        <v>0</v>
      </c>
      <c r="AG118" s="120">
        <f t="shared" si="95"/>
        <v>0</v>
      </c>
      <c r="AH118" s="120">
        <f t="shared" si="95"/>
        <v>0</v>
      </c>
      <c r="AI118" s="120">
        <f t="shared" si="95"/>
        <v>0</v>
      </c>
      <c r="AJ118" s="120">
        <f t="shared" si="96"/>
        <v>0</v>
      </c>
      <c r="AK118" s="120">
        <f t="shared" si="96"/>
        <v>0</v>
      </c>
      <c r="AL118" s="120">
        <f t="shared" si="96"/>
        <v>0</v>
      </c>
      <c r="AM118" s="120">
        <f t="shared" si="96"/>
        <v>0</v>
      </c>
      <c r="AN118" s="120">
        <f t="shared" si="96"/>
        <v>0</v>
      </c>
      <c r="AO118" s="120">
        <f t="shared" si="96"/>
        <v>0</v>
      </c>
      <c r="AP118" s="120">
        <f t="shared" si="96"/>
        <v>0</v>
      </c>
      <c r="AQ118" s="120">
        <f t="shared" si="96"/>
        <v>0</v>
      </c>
      <c r="AR118" s="120">
        <f t="shared" si="96"/>
        <v>0</v>
      </c>
      <c r="AS118" s="120">
        <f t="shared" si="96"/>
        <v>0</v>
      </c>
      <c r="AT118" s="120">
        <f t="shared" si="97"/>
        <v>0</v>
      </c>
      <c r="AU118" s="120">
        <f t="shared" si="97"/>
        <v>0</v>
      </c>
      <c r="AV118" s="120">
        <f t="shared" si="97"/>
        <v>0</v>
      </c>
      <c r="AW118" s="120">
        <f t="shared" si="97"/>
        <v>0</v>
      </c>
      <c r="AX118" s="120">
        <f t="shared" si="97"/>
        <v>0</v>
      </c>
      <c r="AY118" s="120">
        <f t="shared" si="97"/>
        <v>0</v>
      </c>
      <c r="AZ118" s="120">
        <f t="shared" si="97"/>
        <v>0</v>
      </c>
      <c r="BA118" s="120">
        <f t="shared" si="97"/>
        <v>0</v>
      </c>
      <c r="BB118" s="120">
        <f t="shared" si="97"/>
        <v>0</v>
      </c>
      <c r="BC118" s="120">
        <f t="shared" si="97"/>
        <v>0</v>
      </c>
      <c r="BD118" s="120">
        <f t="shared" si="98"/>
        <v>0</v>
      </c>
      <c r="BE118" s="120">
        <f t="shared" si="98"/>
        <v>0</v>
      </c>
      <c r="BF118" s="120">
        <f t="shared" si="98"/>
        <v>0</v>
      </c>
      <c r="BG118" s="120">
        <f t="shared" si="98"/>
        <v>0</v>
      </c>
      <c r="BH118" s="120">
        <f t="shared" si="98"/>
        <v>0</v>
      </c>
      <c r="BI118" s="120">
        <f t="shared" si="98"/>
        <v>0</v>
      </c>
      <c r="BJ118" s="120">
        <f t="shared" si="98"/>
        <v>0</v>
      </c>
      <c r="BK118" s="120">
        <f t="shared" si="98"/>
        <v>0</v>
      </c>
      <c r="BL118" s="120">
        <f t="shared" si="98"/>
        <v>0</v>
      </c>
      <c r="BM118" s="120">
        <f t="shared" si="98"/>
        <v>0</v>
      </c>
      <c r="BN118" s="120">
        <f t="shared" si="98"/>
        <v>0</v>
      </c>
      <c r="BO118" s="120">
        <f t="shared" si="98"/>
        <v>0</v>
      </c>
      <c r="BP118" s="120">
        <f t="shared" si="98"/>
        <v>0</v>
      </c>
      <c r="BR118" s="127">
        <f t="shared" si="72"/>
        <v>0</v>
      </c>
      <c r="BS118" s="127">
        <f t="shared" si="76"/>
        <v>0</v>
      </c>
      <c r="BT118" s="127">
        <f t="shared" si="77"/>
        <v>0</v>
      </c>
      <c r="BY118" s="127">
        <f t="shared" si="85"/>
        <v>0</v>
      </c>
      <c r="BZ118" s="127">
        <f t="shared" si="86"/>
        <v>0</v>
      </c>
      <c r="CA118" s="127">
        <f t="shared" si="87"/>
        <v>0</v>
      </c>
    </row>
    <row r="119" spans="12:79" ht="25.2" customHeight="1" x14ac:dyDescent="0.3">
      <c r="L119" s="6"/>
      <c r="N119" s="125"/>
      <c r="O119" s="71">
        <f t="shared" si="93"/>
        <v>0</v>
      </c>
      <c r="P119" s="2">
        <f t="shared" si="94"/>
        <v>0</v>
      </c>
      <c r="Q119" s="2">
        <f t="shared" si="94"/>
        <v>0</v>
      </c>
      <c r="R119" s="2">
        <f t="shared" si="94"/>
        <v>0</v>
      </c>
      <c r="S119" s="2">
        <f t="shared" si="94"/>
        <v>0</v>
      </c>
      <c r="T119" s="2">
        <f t="shared" si="94"/>
        <v>0</v>
      </c>
      <c r="U119" s="2">
        <f t="shared" si="94"/>
        <v>0</v>
      </c>
      <c r="V119" s="2">
        <f t="shared" si="94"/>
        <v>0</v>
      </c>
      <c r="W119" s="2">
        <f t="shared" si="94"/>
        <v>0</v>
      </c>
      <c r="X119" s="2">
        <f t="shared" si="94"/>
        <v>0</v>
      </c>
      <c r="Y119" s="2">
        <f t="shared" si="94"/>
        <v>0</v>
      </c>
      <c r="Z119" s="120">
        <f t="shared" si="95"/>
        <v>0</v>
      </c>
      <c r="AA119" s="120">
        <f t="shared" si="95"/>
        <v>0</v>
      </c>
      <c r="AB119" s="120">
        <f t="shared" si="95"/>
        <v>0</v>
      </c>
      <c r="AC119" s="120">
        <f t="shared" si="95"/>
        <v>0</v>
      </c>
      <c r="AD119" s="120">
        <f t="shared" si="95"/>
        <v>0</v>
      </c>
      <c r="AE119" s="120">
        <f t="shared" si="95"/>
        <v>0</v>
      </c>
      <c r="AF119" s="120">
        <f t="shared" si="95"/>
        <v>0</v>
      </c>
      <c r="AG119" s="120">
        <f t="shared" si="95"/>
        <v>0</v>
      </c>
      <c r="AH119" s="120">
        <f t="shared" si="95"/>
        <v>0</v>
      </c>
      <c r="AI119" s="120">
        <f t="shared" si="95"/>
        <v>0</v>
      </c>
      <c r="AJ119" s="120">
        <f t="shared" si="96"/>
        <v>0</v>
      </c>
      <c r="AK119" s="120">
        <f t="shared" si="96"/>
        <v>0</v>
      </c>
      <c r="AL119" s="120">
        <f t="shared" si="96"/>
        <v>0</v>
      </c>
      <c r="AM119" s="120">
        <f t="shared" si="96"/>
        <v>0</v>
      </c>
      <c r="AN119" s="120">
        <f t="shared" si="96"/>
        <v>0</v>
      </c>
      <c r="AO119" s="120">
        <f t="shared" si="96"/>
        <v>0</v>
      </c>
      <c r="AP119" s="120">
        <f t="shared" si="96"/>
        <v>0</v>
      </c>
      <c r="AQ119" s="120">
        <f t="shared" si="96"/>
        <v>0</v>
      </c>
      <c r="AR119" s="120">
        <f t="shared" si="96"/>
        <v>0</v>
      </c>
      <c r="AS119" s="120">
        <f t="shared" si="96"/>
        <v>0</v>
      </c>
      <c r="AT119" s="120">
        <f t="shared" si="97"/>
        <v>0</v>
      </c>
      <c r="AU119" s="120">
        <f t="shared" si="97"/>
        <v>0</v>
      </c>
      <c r="AV119" s="120">
        <f t="shared" si="97"/>
        <v>0</v>
      </c>
      <c r="AW119" s="120">
        <f t="shared" si="97"/>
        <v>0</v>
      </c>
      <c r="AX119" s="120">
        <f t="shared" si="97"/>
        <v>0</v>
      </c>
      <c r="AY119" s="120">
        <f t="shared" si="97"/>
        <v>0</v>
      </c>
      <c r="AZ119" s="120">
        <f t="shared" si="97"/>
        <v>0</v>
      </c>
      <c r="BA119" s="120">
        <f t="shared" si="97"/>
        <v>0</v>
      </c>
      <c r="BB119" s="120">
        <f t="shared" si="97"/>
        <v>0</v>
      </c>
      <c r="BC119" s="120">
        <f t="shared" si="97"/>
        <v>0</v>
      </c>
      <c r="BD119" s="120">
        <f t="shared" si="98"/>
        <v>0</v>
      </c>
      <c r="BE119" s="120">
        <f t="shared" si="98"/>
        <v>0</v>
      </c>
      <c r="BF119" s="120">
        <f t="shared" si="98"/>
        <v>0</v>
      </c>
      <c r="BG119" s="120">
        <f t="shared" si="98"/>
        <v>0</v>
      </c>
      <c r="BH119" s="120">
        <f t="shared" si="98"/>
        <v>0</v>
      </c>
      <c r="BI119" s="120">
        <f t="shared" si="98"/>
        <v>0</v>
      </c>
      <c r="BJ119" s="120">
        <f t="shared" si="98"/>
        <v>0</v>
      </c>
      <c r="BK119" s="120">
        <f t="shared" si="98"/>
        <v>0</v>
      </c>
      <c r="BL119" s="120">
        <f t="shared" si="98"/>
        <v>0</v>
      </c>
      <c r="BM119" s="120">
        <f t="shared" si="98"/>
        <v>0</v>
      </c>
      <c r="BN119" s="120">
        <f t="shared" si="98"/>
        <v>0</v>
      </c>
      <c r="BO119" s="120">
        <f t="shared" si="98"/>
        <v>0</v>
      </c>
      <c r="BP119" s="120">
        <f t="shared" si="98"/>
        <v>0</v>
      </c>
      <c r="BR119" s="127">
        <f t="shared" si="72"/>
        <v>0</v>
      </c>
      <c r="BS119" s="127">
        <f t="shared" si="76"/>
        <v>0</v>
      </c>
      <c r="BT119" s="127">
        <f t="shared" si="77"/>
        <v>0</v>
      </c>
      <c r="BY119" s="127">
        <f t="shared" si="85"/>
        <v>0</v>
      </c>
      <c r="BZ119" s="127">
        <f t="shared" si="86"/>
        <v>0</v>
      </c>
      <c r="CA119" s="127">
        <f t="shared" si="87"/>
        <v>0</v>
      </c>
    </row>
    <row r="120" spans="12:79" ht="25.2" customHeight="1" x14ac:dyDescent="0.3">
      <c r="L120" s="6"/>
      <c r="N120" s="125"/>
      <c r="O120" s="71">
        <f t="shared" si="93"/>
        <v>0</v>
      </c>
      <c r="P120" s="2">
        <f t="shared" si="94"/>
        <v>0</v>
      </c>
      <c r="Q120" s="2">
        <f t="shared" si="94"/>
        <v>0</v>
      </c>
      <c r="R120" s="2">
        <f t="shared" si="94"/>
        <v>0</v>
      </c>
      <c r="S120" s="2">
        <f t="shared" si="94"/>
        <v>0</v>
      </c>
      <c r="T120" s="2">
        <f t="shared" si="94"/>
        <v>0</v>
      </c>
      <c r="U120" s="2">
        <f t="shared" si="94"/>
        <v>0</v>
      </c>
      <c r="V120" s="2">
        <f t="shared" si="94"/>
        <v>0</v>
      </c>
      <c r="W120" s="2">
        <f t="shared" si="94"/>
        <v>0</v>
      </c>
      <c r="X120" s="2">
        <f t="shared" si="94"/>
        <v>0</v>
      </c>
      <c r="Y120" s="2">
        <f t="shared" si="94"/>
        <v>0</v>
      </c>
      <c r="Z120" s="120">
        <f t="shared" si="95"/>
        <v>0</v>
      </c>
      <c r="AA120" s="120">
        <f t="shared" si="95"/>
        <v>0</v>
      </c>
      <c r="AB120" s="120">
        <f t="shared" si="95"/>
        <v>0</v>
      </c>
      <c r="AC120" s="120">
        <f t="shared" si="95"/>
        <v>0</v>
      </c>
      <c r="AD120" s="120">
        <f t="shared" si="95"/>
        <v>0</v>
      </c>
      <c r="AE120" s="120">
        <f t="shared" si="95"/>
        <v>0</v>
      </c>
      <c r="AF120" s="120">
        <f t="shared" si="95"/>
        <v>0</v>
      </c>
      <c r="AG120" s="120">
        <f t="shared" si="95"/>
        <v>0</v>
      </c>
      <c r="AH120" s="120">
        <f t="shared" si="95"/>
        <v>0</v>
      </c>
      <c r="AI120" s="120">
        <f t="shared" si="95"/>
        <v>0</v>
      </c>
      <c r="AJ120" s="120">
        <f t="shared" si="96"/>
        <v>0</v>
      </c>
      <c r="AK120" s="120">
        <f t="shared" si="96"/>
        <v>0</v>
      </c>
      <c r="AL120" s="120">
        <f t="shared" si="96"/>
        <v>0</v>
      </c>
      <c r="AM120" s="120">
        <f t="shared" si="96"/>
        <v>0</v>
      </c>
      <c r="AN120" s="120">
        <f t="shared" si="96"/>
        <v>0</v>
      </c>
      <c r="AO120" s="120">
        <f t="shared" si="96"/>
        <v>0</v>
      </c>
      <c r="AP120" s="120">
        <f t="shared" si="96"/>
        <v>0</v>
      </c>
      <c r="AQ120" s="120">
        <f t="shared" si="96"/>
        <v>0</v>
      </c>
      <c r="AR120" s="120">
        <f t="shared" si="96"/>
        <v>0</v>
      </c>
      <c r="AS120" s="120">
        <f t="shared" si="96"/>
        <v>0</v>
      </c>
      <c r="AT120" s="120">
        <f t="shared" si="97"/>
        <v>0</v>
      </c>
      <c r="AU120" s="120">
        <f t="shared" si="97"/>
        <v>0</v>
      </c>
      <c r="AV120" s="120">
        <f t="shared" si="97"/>
        <v>0</v>
      </c>
      <c r="AW120" s="120">
        <f t="shared" si="97"/>
        <v>0</v>
      </c>
      <c r="AX120" s="120">
        <f t="shared" si="97"/>
        <v>0</v>
      </c>
      <c r="AY120" s="120">
        <f t="shared" si="97"/>
        <v>0</v>
      </c>
      <c r="AZ120" s="120">
        <f t="shared" si="97"/>
        <v>0</v>
      </c>
      <c r="BA120" s="120">
        <f t="shared" si="97"/>
        <v>0</v>
      </c>
      <c r="BB120" s="120">
        <f t="shared" si="97"/>
        <v>0</v>
      </c>
      <c r="BC120" s="120">
        <f t="shared" si="97"/>
        <v>0</v>
      </c>
      <c r="BD120" s="120">
        <f t="shared" si="98"/>
        <v>0</v>
      </c>
      <c r="BE120" s="120">
        <f t="shared" si="98"/>
        <v>0</v>
      </c>
      <c r="BF120" s="120">
        <f t="shared" si="98"/>
        <v>0</v>
      </c>
      <c r="BG120" s="120">
        <f t="shared" si="98"/>
        <v>0</v>
      </c>
      <c r="BH120" s="120">
        <f t="shared" si="98"/>
        <v>0</v>
      </c>
      <c r="BI120" s="120">
        <f t="shared" si="98"/>
        <v>0</v>
      </c>
      <c r="BJ120" s="120">
        <f t="shared" si="98"/>
        <v>0</v>
      </c>
      <c r="BK120" s="120">
        <f t="shared" si="98"/>
        <v>0</v>
      </c>
      <c r="BL120" s="120">
        <f t="shared" si="98"/>
        <v>0</v>
      </c>
      <c r="BM120" s="120">
        <f t="shared" si="98"/>
        <v>0</v>
      </c>
      <c r="BN120" s="120">
        <f t="shared" si="98"/>
        <v>0</v>
      </c>
      <c r="BO120" s="120">
        <f t="shared" si="98"/>
        <v>0</v>
      </c>
      <c r="BP120" s="120">
        <f t="shared" si="98"/>
        <v>0</v>
      </c>
      <c r="BR120" s="127">
        <f t="shared" si="72"/>
        <v>0</v>
      </c>
      <c r="BS120" s="127">
        <f t="shared" si="76"/>
        <v>0</v>
      </c>
      <c r="BT120" s="127">
        <f t="shared" si="77"/>
        <v>0</v>
      </c>
      <c r="BY120" s="127">
        <f t="shared" si="85"/>
        <v>0</v>
      </c>
      <c r="BZ120" s="127">
        <f t="shared" si="86"/>
        <v>0</v>
      </c>
      <c r="CA120" s="127">
        <f t="shared" si="87"/>
        <v>0</v>
      </c>
    </row>
    <row r="121" spans="12:79" ht="24.25" x14ac:dyDescent="0.3">
      <c r="O121" s="72" t="s">
        <v>28</v>
      </c>
      <c r="P121" s="123">
        <f>SUM(P85:P120)</f>
        <v>577</v>
      </c>
      <c r="Q121" s="123">
        <f>SUM(Q85:Q120)</f>
        <v>2835</v>
      </c>
      <c r="R121" s="123">
        <f t="shared" ref="R121:BP121" si="99">SUM(R85:R120)</f>
        <v>250</v>
      </c>
      <c r="S121" s="123">
        <f t="shared" si="99"/>
        <v>580</v>
      </c>
      <c r="T121" s="123">
        <f t="shared" si="99"/>
        <v>218</v>
      </c>
      <c r="U121" s="123">
        <f t="shared" si="99"/>
        <v>0</v>
      </c>
      <c r="V121" s="123">
        <f t="shared" ref="V121" si="100">SUM(V85:V120)</f>
        <v>0</v>
      </c>
      <c r="W121" s="123">
        <f t="shared" si="99"/>
        <v>0</v>
      </c>
      <c r="X121" s="123">
        <f t="shared" si="99"/>
        <v>0</v>
      </c>
      <c r="Y121" s="123">
        <f t="shared" si="99"/>
        <v>0</v>
      </c>
      <c r="Z121" s="123">
        <f t="shared" si="99"/>
        <v>0</v>
      </c>
      <c r="AA121" s="123">
        <f t="shared" ref="AA121" si="101">SUM(AA85:AA120)</f>
        <v>0</v>
      </c>
      <c r="AB121" s="123">
        <f t="shared" ref="AB121" si="102">SUM(AB85:AB120)</f>
        <v>0</v>
      </c>
      <c r="AC121" s="123">
        <f t="shared" si="99"/>
        <v>0</v>
      </c>
      <c r="AD121" s="123">
        <f t="shared" ref="AD121" si="103">SUM(AD85:AD120)</f>
        <v>0</v>
      </c>
      <c r="AE121" s="123">
        <f t="shared" si="99"/>
        <v>0</v>
      </c>
      <c r="AF121" s="123">
        <f t="shared" si="99"/>
        <v>0</v>
      </c>
      <c r="AG121" s="123">
        <f t="shared" si="99"/>
        <v>0</v>
      </c>
      <c r="AH121" s="123">
        <f t="shared" si="99"/>
        <v>0</v>
      </c>
      <c r="AI121" s="123">
        <f t="shared" si="99"/>
        <v>0</v>
      </c>
      <c r="AJ121" s="123">
        <f t="shared" si="99"/>
        <v>0</v>
      </c>
      <c r="AK121" s="123">
        <f t="shared" si="99"/>
        <v>0</v>
      </c>
      <c r="AL121" s="123">
        <f t="shared" ref="AL121" si="104">SUM(AL85:AL120)</f>
        <v>0</v>
      </c>
      <c r="AM121" s="123">
        <f t="shared" si="99"/>
        <v>0</v>
      </c>
      <c r="AN121" s="123">
        <f t="shared" si="99"/>
        <v>0</v>
      </c>
      <c r="AO121" s="123">
        <f t="shared" si="99"/>
        <v>0</v>
      </c>
      <c r="AP121" s="123">
        <f t="shared" si="99"/>
        <v>0</v>
      </c>
      <c r="AQ121" s="123">
        <f t="shared" ref="AQ121:AR121" si="105">SUM(AQ85:AQ120)</f>
        <v>0</v>
      </c>
      <c r="AR121" s="123">
        <f t="shared" si="105"/>
        <v>0</v>
      </c>
      <c r="AS121" s="123">
        <f t="shared" si="99"/>
        <v>31.157999999999994</v>
      </c>
      <c r="AT121" s="123">
        <f t="shared" ref="AT121" si="106">SUM(AT85:AT120)</f>
        <v>153.09</v>
      </c>
      <c r="AU121" s="123">
        <f t="shared" si="99"/>
        <v>16.25</v>
      </c>
      <c r="AV121" s="123">
        <f t="shared" si="99"/>
        <v>46.399999999999991</v>
      </c>
      <c r="AW121" s="123">
        <f t="shared" si="99"/>
        <v>21.8</v>
      </c>
      <c r="AX121" s="123">
        <f t="shared" si="99"/>
        <v>268.69799999999998</v>
      </c>
      <c r="AY121" s="123">
        <f t="shared" si="99"/>
        <v>71</v>
      </c>
      <c r="AZ121" s="123">
        <f t="shared" si="99"/>
        <v>233.851</v>
      </c>
      <c r="BA121" s="123">
        <f t="shared" si="99"/>
        <v>0</v>
      </c>
      <c r="BB121" s="123">
        <f t="shared" ref="BB121" si="107">SUM(BB85:BB120)</f>
        <v>0</v>
      </c>
      <c r="BC121" s="123">
        <f t="shared" si="99"/>
        <v>0</v>
      </c>
      <c r="BD121" s="123">
        <f t="shared" si="99"/>
        <v>0</v>
      </c>
      <c r="BE121" s="123">
        <f t="shared" si="99"/>
        <v>0</v>
      </c>
      <c r="BF121" s="123">
        <f t="shared" si="99"/>
        <v>0</v>
      </c>
      <c r="BG121" s="123">
        <f t="shared" ref="BG121:BH121" si="108">SUM(BG85:BG120)</f>
        <v>0</v>
      </c>
      <c r="BH121" s="123">
        <f t="shared" si="108"/>
        <v>0</v>
      </c>
      <c r="BI121" s="123">
        <f t="shared" si="99"/>
        <v>0</v>
      </c>
      <c r="BJ121" s="123">
        <f t="shared" ref="BJ121" si="109">SUM(BJ85:BJ120)</f>
        <v>0</v>
      </c>
      <c r="BK121" s="123">
        <f t="shared" si="99"/>
        <v>0</v>
      </c>
      <c r="BL121" s="123">
        <f t="shared" si="99"/>
        <v>0</v>
      </c>
      <c r="BM121" s="123">
        <f t="shared" si="99"/>
        <v>0</v>
      </c>
      <c r="BN121" s="123">
        <f t="shared" si="99"/>
        <v>0</v>
      </c>
      <c r="BO121" s="123">
        <f t="shared" si="99"/>
        <v>0</v>
      </c>
      <c r="BP121" s="123">
        <f t="shared" si="99"/>
        <v>0</v>
      </c>
      <c r="BR121" s="123">
        <f t="shared" ref="BR121" si="110">SUM(BR85:BR120)</f>
        <v>0</v>
      </c>
      <c r="BS121" s="123">
        <f t="shared" ref="BS121" si="111">SUM(BS85:BS120)</f>
        <v>0</v>
      </c>
      <c r="BT121" s="123">
        <f t="shared" ref="BT121" si="112">SUM(BT85:BT120)</f>
        <v>268.69799999999998</v>
      </c>
      <c r="BY121" s="123">
        <f t="shared" ref="BY121" si="113">SUM(BY85:BY120)</f>
        <v>0</v>
      </c>
      <c r="BZ121" s="123">
        <f t="shared" ref="BZ121" si="114">SUM(BZ85:BZ120)</f>
        <v>0</v>
      </c>
      <c r="CA121" s="123">
        <f t="shared" ref="CA121" si="115">SUM(CA85:CA120)</f>
        <v>268.69799999999998</v>
      </c>
    </row>
  </sheetData>
  <autoFilter ref="A7:CA121" xr:uid="{00000000-0001-0000-0000-000000000000}"/>
  <sortState xmlns:xlrd2="http://schemas.microsoft.com/office/spreadsheetml/2017/richdata2" ref="B8:AZ73">
    <sortCondition ref="M8:M73"/>
    <sortCondition ref="L8:L73"/>
  </sortState>
  <mergeCells count="37">
    <mergeCell ref="AQ4:AR4"/>
    <mergeCell ref="AI4:AJ4"/>
    <mergeCell ref="BG4:BH4"/>
    <mergeCell ref="AY4:AZ4"/>
    <mergeCell ref="BO4:BP4"/>
    <mergeCell ref="CD84:CF84"/>
    <mergeCell ref="AK4:AO4"/>
    <mergeCell ref="AS4:AW4"/>
    <mergeCell ref="BI1:BM1"/>
    <mergeCell ref="U1:Y1"/>
    <mergeCell ref="AC1:AG1"/>
    <mergeCell ref="AK1:AO1"/>
    <mergeCell ref="AS1:AW1"/>
    <mergeCell ref="BA1:BE1"/>
    <mergeCell ref="BR83:BT83"/>
    <mergeCell ref="BY83:CA83"/>
    <mergeCell ref="BR6:CA6"/>
    <mergeCell ref="AY6:AZ6"/>
    <mergeCell ref="BG6:BH6"/>
    <mergeCell ref="BO6:BP6"/>
    <mergeCell ref="AA4:AB4"/>
    <mergeCell ref="N5:O5"/>
    <mergeCell ref="BI2:BM2"/>
    <mergeCell ref="BI4:BM4"/>
    <mergeCell ref="P83:BN83"/>
    <mergeCell ref="BA4:BE4"/>
    <mergeCell ref="U2:Y2"/>
    <mergeCell ref="AC2:AG2"/>
    <mergeCell ref="AK2:AO2"/>
    <mergeCell ref="AS2:AW2"/>
    <mergeCell ref="BA2:BE2"/>
    <mergeCell ref="U3:BE3"/>
    <mergeCell ref="U4:Y4"/>
    <mergeCell ref="AC4:AG4"/>
    <mergeCell ref="AA6:AB6"/>
    <mergeCell ref="AI6:AJ6"/>
    <mergeCell ref="AQ6:AR6"/>
  </mergeCells>
  <phoneticPr fontId="3" type="noConversion"/>
  <conditionalFormatting sqref="Z8 AH8 AP8 AX8 BF8 BN8 BF77 AX76:AX77 AP76:AP77 AH76:AH77 Z76:Z77 BN77">
    <cfRule type="cellIs" dxfId="23" priority="141" operator="between">
      <formula>0</formula>
      <formula>0</formula>
    </cfRule>
  </conditionalFormatting>
  <conditionalFormatting sqref="AA8:AB8 AI8:AJ8 AY8:AZ8 BG8:BH8 BO8:BP8 AQ8:AR8">
    <cfRule type="cellIs" dxfId="22" priority="51" operator="equal">
      <formula>0</formula>
    </cfRule>
  </conditionalFormatting>
  <conditionalFormatting sqref="CE13:CJ27 CE29:CJ48">
    <cfRule type="cellIs" dxfId="21" priority="57" operator="equal">
      <formula>0</formula>
    </cfRule>
  </conditionalFormatting>
  <conditionalFormatting sqref="Z9:Z27 AH9:AH27 AP9:AP27 AX9:AX27 BF9:BF27 BN9:BN27 BN29:BN49 BF29:BF49 AX29:AX49 AP29:AP49 AH29:AH49 Z29:Z49 Z64:Z73 AH64:AH73 AP64:AP73 AX64:AX73 BF64:BF73 BN64:BN73">
    <cfRule type="cellIs" dxfId="20" priority="7" operator="between">
      <formula>0</formula>
      <formula>0</formula>
    </cfRule>
  </conditionalFormatting>
  <conditionalFormatting sqref="BG9:BH27 BO9:BP27 AQ9:AR27 AA9:AB27 AI9:AJ27 AI29:AJ49 AA29:AB49 AQ29:AR49 BO29:BP49 BG29:BH49 AY29:AZ49 AY64:AZ73 BG64:BH73 BO64:BP73 AQ64:AR73 AA64:AB73 AI64:AJ73 AY9:AZ27">
    <cfRule type="cellIs" dxfId="19" priority="6" operator="equal">
      <formula>0</formula>
    </cfRule>
  </conditionalFormatting>
  <conditionalFormatting sqref="CE28:CJ28">
    <cfRule type="cellIs" dxfId="18" priority="5" operator="equal">
      <formula>0</formula>
    </cfRule>
  </conditionalFormatting>
  <conditionalFormatting sqref="Z28 AH28 AP28 AX28 BF28 BN28">
    <cfRule type="cellIs" dxfId="17" priority="4" operator="between">
      <formula>0</formula>
      <formula>0</formula>
    </cfRule>
  </conditionalFormatting>
  <conditionalFormatting sqref="AY28:AZ28 BG28:BH28 BO28:BP28 AQ28:AR28 AA28:AB28 AI28:AJ28">
    <cfRule type="cellIs" dxfId="16" priority="3" operator="equal">
      <formula>0</formula>
    </cfRule>
  </conditionalFormatting>
  <conditionalFormatting sqref="BN50:BN63 BF50:BF63 AX50:AX63 AP50:AP63 AH50:AH63 Z50:Z63">
    <cfRule type="cellIs" dxfId="15" priority="2" operator="between">
      <formula>0</formula>
      <formula>0</formula>
    </cfRule>
  </conditionalFormatting>
  <conditionalFormatting sqref="AI50:AJ63 AA50:AB63 AQ50:AR63 BO50:BP63 BG50:BH63 AY50:AZ63">
    <cfRule type="cellIs" dxfId="14" priority="1" operator="equal">
      <formula>0</formula>
    </cfRule>
  </conditionalFormatting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7" orientation="landscape" r:id="rId1"/>
  <headerFooter>
    <oddHeader xml:space="preserve">&amp;L&amp;"-,Negrita Cursiva"&amp;22&amp;ECárnicos -  &amp;A     </oddHeader>
    <oddFooter>&amp;R&amp;"-,Negrita Cursiva"&amp;18Página &amp;P &amp;A - Cárnicos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000"/>
  </sheetPr>
  <dimension ref="A4:AV131"/>
  <sheetViews>
    <sheetView topLeftCell="A10" zoomScale="70" zoomScaleNormal="70" workbookViewId="0">
      <selection activeCell="A35" sqref="A35:XFD35"/>
    </sheetView>
  </sheetViews>
  <sheetFormatPr baseColWidth="10" defaultColWidth="10.6640625" defaultRowHeight="15.05" x14ac:dyDescent="0.3"/>
  <cols>
    <col min="1" max="1" width="5.6640625" customWidth="1"/>
    <col min="2" max="2" width="19.33203125" bestFit="1" customWidth="1"/>
    <col min="3" max="3" width="23.109375" bestFit="1" customWidth="1"/>
    <col min="4" max="7" width="11.5546875" customWidth="1"/>
    <col min="8" max="8" width="21.109375" style="14" customWidth="1"/>
    <col min="9" max="12" width="11.5546875" style="14" customWidth="1"/>
    <col min="13" max="13" width="16.33203125" style="14" customWidth="1"/>
    <col min="14" max="17" width="11.5546875" style="14" customWidth="1"/>
    <col min="18" max="18" width="15.5546875" style="14" customWidth="1"/>
    <col min="19" max="22" width="11.5546875" style="14" customWidth="1"/>
    <col min="23" max="23" width="15.5546875" style="14" customWidth="1"/>
    <col min="24" max="27" width="11.5546875" customWidth="1"/>
    <col min="28" max="28" width="19.5546875" customWidth="1"/>
    <col min="29" max="32" width="11.5546875" customWidth="1"/>
    <col min="33" max="33" width="19.5546875" customWidth="1"/>
    <col min="34" max="34" width="17.6640625" customWidth="1"/>
    <col min="35" max="35" width="19.109375" bestFit="1" customWidth="1"/>
    <col min="44" max="47" width="11.5546875" customWidth="1"/>
  </cols>
  <sheetData>
    <row r="4" spans="1:48" ht="15.75" thickBot="1" x14ac:dyDescent="0.35"/>
    <row r="5" spans="1:48" s="19" customFormat="1" ht="20.95" thickBot="1" x14ac:dyDescent="0.4">
      <c r="B5" s="43" t="s">
        <v>59</v>
      </c>
      <c r="D5" s="14"/>
      <c r="E5" s="14"/>
      <c r="F5" s="14"/>
      <c r="G5" s="14"/>
      <c r="I5" s="14"/>
      <c r="J5" s="14"/>
      <c r="K5" s="14"/>
      <c r="L5" s="14"/>
      <c r="N5" s="21"/>
      <c r="O5" s="21"/>
      <c r="P5" s="21"/>
      <c r="Q5" s="21"/>
      <c r="S5" s="21"/>
      <c r="T5" s="21"/>
      <c r="U5" s="21"/>
      <c r="V5" s="21"/>
      <c r="X5" s="21"/>
      <c r="Y5" s="21"/>
      <c r="Z5" s="21"/>
      <c r="AA5" s="21"/>
      <c r="AC5" s="21"/>
      <c r="AD5" s="21"/>
      <c r="AE5" s="21"/>
      <c r="AF5" s="21"/>
    </row>
    <row r="6" spans="1:48" s="19" customFormat="1" ht="20.3" x14ac:dyDescent="0.35">
      <c r="B6" s="43" t="s">
        <v>59</v>
      </c>
      <c r="D6" s="172" t="s">
        <v>78</v>
      </c>
      <c r="E6" s="173"/>
      <c r="F6" s="173"/>
      <c r="G6" s="174"/>
      <c r="H6" s="14"/>
      <c r="I6" s="172" t="s">
        <v>78</v>
      </c>
      <c r="J6" s="173"/>
      <c r="K6" s="173"/>
      <c r="L6" s="174"/>
      <c r="M6" s="14"/>
      <c r="N6" s="172" t="s">
        <v>78</v>
      </c>
      <c r="O6" s="173"/>
      <c r="P6" s="173"/>
      <c r="Q6" s="174"/>
      <c r="R6" s="14"/>
      <c r="S6" s="188" t="s">
        <v>70</v>
      </c>
      <c r="T6" s="173"/>
      <c r="U6" s="173"/>
      <c r="V6" s="174"/>
      <c r="W6" s="14"/>
      <c r="X6" s="188" t="s">
        <v>70</v>
      </c>
      <c r="Y6" s="173"/>
      <c r="Z6" s="173"/>
      <c r="AA6" s="174"/>
      <c r="AB6"/>
      <c r="AC6" s="188" t="s">
        <v>70</v>
      </c>
      <c r="AD6" s="173"/>
      <c r="AE6" s="173"/>
      <c r="AF6" s="174"/>
    </row>
    <row r="7" spans="1:48" ht="20.3" x14ac:dyDescent="0.3">
      <c r="B7" s="18" t="s">
        <v>60</v>
      </c>
      <c r="D7" s="172" t="s">
        <v>50</v>
      </c>
      <c r="E7" s="173"/>
      <c r="F7" s="173"/>
      <c r="G7" s="174"/>
      <c r="I7" s="172" t="s">
        <v>51</v>
      </c>
      <c r="J7" s="173"/>
      <c r="K7" s="173"/>
      <c r="L7" s="174"/>
      <c r="N7" s="172" t="s">
        <v>54</v>
      </c>
      <c r="O7" s="173"/>
      <c r="P7" s="173"/>
      <c r="Q7" s="174"/>
      <c r="S7" s="188" t="s">
        <v>52</v>
      </c>
      <c r="T7" s="173"/>
      <c r="U7" s="173"/>
      <c r="V7" s="174"/>
      <c r="X7" s="188" t="s">
        <v>53</v>
      </c>
      <c r="Y7" s="173"/>
      <c r="Z7" s="173"/>
      <c r="AA7" s="174"/>
      <c r="AC7" s="188" t="s">
        <v>156</v>
      </c>
      <c r="AD7" s="173"/>
      <c r="AE7" s="173"/>
      <c r="AF7" s="174"/>
    </row>
    <row r="8" spans="1:48" ht="19" thickBot="1" x14ac:dyDescent="0.35">
      <c r="B8" s="13">
        <v>1000</v>
      </c>
      <c r="C8" s="55" t="s">
        <v>72</v>
      </c>
      <c r="D8" s="3">
        <v>52</v>
      </c>
      <c r="E8" s="3">
        <v>65</v>
      </c>
      <c r="F8" s="3">
        <v>80</v>
      </c>
      <c r="G8" s="3">
        <v>100</v>
      </c>
      <c r="I8" s="3">
        <v>52</v>
      </c>
      <c r="J8" s="3">
        <v>65</v>
      </c>
      <c r="K8" s="3">
        <v>80</v>
      </c>
      <c r="L8" s="3">
        <v>100</v>
      </c>
      <c r="N8" s="3">
        <v>52</v>
      </c>
      <c r="O8" s="3">
        <v>65</v>
      </c>
      <c r="P8" s="3">
        <v>80</v>
      </c>
      <c r="Q8" s="3">
        <v>100</v>
      </c>
      <c r="S8" s="3">
        <v>60</v>
      </c>
      <c r="T8" s="3">
        <v>75</v>
      </c>
      <c r="U8" s="3">
        <v>110</v>
      </c>
      <c r="V8" s="3">
        <v>125</v>
      </c>
      <c r="X8" s="3">
        <v>60</v>
      </c>
      <c r="Y8" s="3">
        <v>75</v>
      </c>
      <c r="Z8" s="3">
        <v>110</v>
      </c>
      <c r="AA8" s="3">
        <v>125</v>
      </c>
      <c r="AC8" s="3">
        <v>60</v>
      </c>
      <c r="AD8" s="3">
        <v>75</v>
      </c>
      <c r="AE8" s="3">
        <v>110</v>
      </c>
      <c r="AF8" s="3">
        <v>125</v>
      </c>
    </row>
    <row r="9" spans="1:48" s="17" customFormat="1" ht="15.75" thickBot="1" x14ac:dyDescent="0.35">
      <c r="C9" s="55" t="s">
        <v>81</v>
      </c>
      <c r="D9" s="29">
        <v>52</v>
      </c>
      <c r="E9" s="29">
        <v>65</v>
      </c>
      <c r="F9" s="29">
        <v>80</v>
      </c>
      <c r="G9" s="29">
        <v>100</v>
      </c>
      <c r="H9" s="47" t="s">
        <v>28</v>
      </c>
      <c r="I9" s="29">
        <v>52</v>
      </c>
      <c r="J9" s="29">
        <v>65</v>
      </c>
      <c r="K9" s="29">
        <v>80</v>
      </c>
      <c r="L9" s="29">
        <v>100</v>
      </c>
      <c r="M9" s="47" t="s">
        <v>28</v>
      </c>
      <c r="N9" s="29">
        <v>52</v>
      </c>
      <c r="O9" s="29">
        <v>65</v>
      </c>
      <c r="P9" s="29">
        <v>80</v>
      </c>
      <c r="Q9" s="29">
        <v>100</v>
      </c>
      <c r="R9" s="47" t="s">
        <v>28</v>
      </c>
      <c r="S9" s="3">
        <v>60</v>
      </c>
      <c r="T9" s="29">
        <v>75</v>
      </c>
      <c r="U9" s="29">
        <v>110</v>
      </c>
      <c r="V9" s="29">
        <v>125</v>
      </c>
      <c r="W9" s="47" t="s">
        <v>28</v>
      </c>
      <c r="X9" s="29">
        <v>60</v>
      </c>
      <c r="Y9" s="29">
        <v>75</v>
      </c>
      <c r="Z9" s="29">
        <v>110</v>
      </c>
      <c r="AA9" s="29">
        <v>125</v>
      </c>
      <c r="AB9" s="47" t="s">
        <v>28</v>
      </c>
      <c r="AC9" s="29">
        <v>60</v>
      </c>
      <c r="AD9" s="29">
        <v>75</v>
      </c>
      <c r="AE9" s="29">
        <v>110</v>
      </c>
      <c r="AF9" s="29">
        <v>125</v>
      </c>
      <c r="AG9" s="47" t="s">
        <v>28</v>
      </c>
      <c r="AR9" s="187" t="s">
        <v>87</v>
      </c>
      <c r="AS9" s="187"/>
      <c r="AT9" s="187"/>
      <c r="AU9" s="187"/>
    </row>
    <row r="10" spans="1:48" s="17" customFormat="1" ht="37.5" customHeight="1" thickBot="1" x14ac:dyDescent="0.35">
      <c r="B10" s="75"/>
      <c r="C10" s="76"/>
      <c r="D10" s="45" t="s">
        <v>55</v>
      </c>
      <c r="E10" s="7" t="s">
        <v>56</v>
      </c>
      <c r="F10" s="7" t="s">
        <v>57</v>
      </c>
      <c r="G10" s="7" t="s">
        <v>58</v>
      </c>
      <c r="H10" s="30" t="str">
        <f>+D$7</f>
        <v>CERDO 1</v>
      </c>
      <c r="I10" s="7" t="s">
        <v>55</v>
      </c>
      <c r="J10" s="7" t="s">
        <v>56</v>
      </c>
      <c r="K10" s="7" t="s">
        <v>57</v>
      </c>
      <c r="L10" s="7" t="s">
        <v>58</v>
      </c>
      <c r="M10" s="30" t="str">
        <f>+I$7</f>
        <v>CERDO 2</v>
      </c>
      <c r="N10" s="7" t="s">
        <v>55</v>
      </c>
      <c r="O10" s="7" t="s">
        <v>56</v>
      </c>
      <c r="P10" s="7" t="s">
        <v>57</v>
      </c>
      <c r="Q10" s="7" t="s">
        <v>58</v>
      </c>
      <c r="R10" s="30" t="str">
        <f>+N$7</f>
        <v>RES</v>
      </c>
      <c r="S10" s="7" t="s">
        <v>55</v>
      </c>
      <c r="T10" s="7" t="s">
        <v>56</v>
      </c>
      <c r="U10" s="7" t="s">
        <v>57</v>
      </c>
      <c r="V10" s="7" t="s">
        <v>58</v>
      </c>
      <c r="W10" s="30" t="str">
        <f>+S$7</f>
        <v>POLLO 1</v>
      </c>
      <c r="X10" s="7" t="s">
        <v>55</v>
      </c>
      <c r="Y10" s="7" t="s">
        <v>56</v>
      </c>
      <c r="Z10" s="7" t="s">
        <v>57</v>
      </c>
      <c r="AA10" s="7" t="s">
        <v>58</v>
      </c>
      <c r="AB10" s="30" t="str">
        <f>+X$7</f>
        <v>POLLO 2</v>
      </c>
      <c r="AC10" s="7" t="s">
        <v>55</v>
      </c>
      <c r="AD10" s="7" t="s">
        <v>56</v>
      </c>
      <c r="AE10" s="7" t="s">
        <v>57</v>
      </c>
      <c r="AF10" s="7" t="s">
        <v>58</v>
      </c>
      <c r="AG10" s="30" t="str">
        <f>+AC$7</f>
        <v>POLLO 3</v>
      </c>
      <c r="AH10" s="56"/>
      <c r="AR10" s="45" t="s">
        <v>55</v>
      </c>
      <c r="AS10" s="7" t="s">
        <v>56</v>
      </c>
      <c r="AT10" s="7" t="s">
        <v>57</v>
      </c>
      <c r="AU10" s="7" t="s">
        <v>58</v>
      </c>
    </row>
    <row r="11" spans="1:48" ht="16.399999999999999" thickBot="1" x14ac:dyDescent="0.35">
      <c r="A11" s="17"/>
      <c r="B11" t="s">
        <v>126</v>
      </c>
      <c r="C11" s="44" t="s">
        <v>64</v>
      </c>
    </row>
    <row r="12" spans="1:48" ht="15.75" x14ac:dyDescent="0.3">
      <c r="A12" s="17"/>
      <c r="B12" t="s">
        <v>23</v>
      </c>
      <c r="C12" s="23" t="s">
        <v>23</v>
      </c>
      <c r="D12" s="33">
        <f>+CÁRNICOS!U$78</f>
        <v>0</v>
      </c>
      <c r="E12" s="34">
        <f>+CÁRNICOS!W$78</f>
        <v>0</v>
      </c>
      <c r="F12" s="34">
        <f>+CÁRNICOS!X$78</f>
        <v>0</v>
      </c>
      <c r="G12" s="34">
        <f>+CÁRNICOS!Y$78</f>
        <v>0</v>
      </c>
      <c r="H12" s="48">
        <f>+CÁRNICOS!Z$78</f>
        <v>0</v>
      </c>
      <c r="I12" s="48">
        <f>+CÁRNICOS!AC$78</f>
        <v>0</v>
      </c>
      <c r="J12" s="48">
        <f>+CÁRNICOS!AE$78</f>
        <v>0</v>
      </c>
      <c r="K12" s="48">
        <f>+CÁRNICOS!AF$78</f>
        <v>0</v>
      </c>
      <c r="L12" s="48">
        <f>+CÁRNICOS!AG$78</f>
        <v>0</v>
      </c>
      <c r="M12" s="48">
        <f>+CÁRNICOS!AH$78</f>
        <v>0</v>
      </c>
      <c r="N12" s="48">
        <f>+CÁRNICOS!AK$78</f>
        <v>0</v>
      </c>
      <c r="O12" s="48">
        <f>+CÁRNICOS!AM$78</f>
        <v>0</v>
      </c>
      <c r="P12" s="48">
        <f>+CÁRNICOS!AN$78</f>
        <v>0</v>
      </c>
      <c r="Q12" s="48">
        <f>+CÁRNICOS!AO$78</f>
        <v>0</v>
      </c>
      <c r="R12" s="48">
        <f>+CÁRNICOS!AP$78</f>
        <v>0</v>
      </c>
      <c r="S12" s="48">
        <f>+CÁRNICOS!AS$78</f>
        <v>31.158000000000001</v>
      </c>
      <c r="T12" s="48">
        <f>+CÁRNICOS!AU$78</f>
        <v>16.25</v>
      </c>
      <c r="U12" s="48">
        <f>+CÁRNICOS!AV$78</f>
        <v>46.4</v>
      </c>
      <c r="V12" s="48">
        <f>+CÁRNICOS!AW$78</f>
        <v>21.8</v>
      </c>
      <c r="W12" s="48">
        <f>+CÁRNICOS!AX$78</f>
        <v>268.69800000000004</v>
      </c>
      <c r="X12" s="48">
        <f>+CÁRNICOS!BA$78</f>
        <v>0</v>
      </c>
      <c r="Y12" s="48">
        <f>+CÁRNICOS!BC$78</f>
        <v>0</v>
      </c>
      <c r="Z12" s="48">
        <f>+CÁRNICOS!BD$78</f>
        <v>0</v>
      </c>
      <c r="AA12" s="48">
        <f>+CÁRNICOS!BE$78</f>
        <v>0</v>
      </c>
      <c r="AB12" s="48">
        <f>+CÁRNICOS!BF$78</f>
        <v>0</v>
      </c>
      <c r="AC12" s="48">
        <f>+CÁRNICOS!BI$78</f>
        <v>0</v>
      </c>
      <c r="AD12" s="48">
        <f>+CÁRNICOS!BK$78</f>
        <v>0</v>
      </c>
      <c r="AE12" s="48">
        <f>+CÁRNICOS!BL$78</f>
        <v>0</v>
      </c>
      <c r="AF12" s="48">
        <f>+CÁRNICOS!BM$78</f>
        <v>0</v>
      </c>
      <c r="AG12" s="48">
        <f>+CÁRNICOS!BN$78</f>
        <v>0</v>
      </c>
      <c r="AH12" s="77">
        <f>+W12+AB12+AG12</f>
        <v>268.69800000000004</v>
      </c>
      <c r="AR12" s="80">
        <f>+CÁRNICOS!P$78</f>
        <v>577</v>
      </c>
      <c r="AS12" s="48">
        <f>+CÁRNICOS!R$78</f>
        <v>250</v>
      </c>
      <c r="AT12" s="48">
        <f>+CÁRNICOS!S$78</f>
        <v>580</v>
      </c>
      <c r="AU12" s="48">
        <f>+CÁRNICOS!T$78</f>
        <v>218</v>
      </c>
      <c r="AV12" s="79">
        <f>SUM(AR12:AU12)</f>
        <v>1625</v>
      </c>
    </row>
    <row r="13" spans="1:48" ht="15.75" x14ac:dyDescent="0.3">
      <c r="A13" s="17"/>
      <c r="B13" t="s">
        <v>17</v>
      </c>
      <c r="C13" s="24" t="s">
        <v>17</v>
      </c>
      <c r="D13" s="35" t="e">
        <f>+#REF!</f>
        <v>#REF!</v>
      </c>
      <c r="E13" s="1" t="e">
        <f>+#REF!</f>
        <v>#REF!</v>
      </c>
      <c r="F13" s="1" t="e">
        <f>+#REF!</f>
        <v>#REF!</v>
      </c>
      <c r="G13" s="1" t="e">
        <f>+#REF!</f>
        <v>#REF!</v>
      </c>
      <c r="H13" s="2" t="e">
        <f>+#REF!</f>
        <v>#REF!</v>
      </c>
      <c r="I13" s="2" t="e">
        <f>+#REF!</f>
        <v>#REF!</v>
      </c>
      <c r="J13" s="2" t="e">
        <f>+#REF!</f>
        <v>#REF!</v>
      </c>
      <c r="K13" s="2" t="e">
        <f>+#REF!</f>
        <v>#REF!</v>
      </c>
      <c r="L13" s="2" t="e">
        <f>+#REF!</f>
        <v>#REF!</v>
      </c>
      <c r="M13" s="2" t="e">
        <f>+#REF!</f>
        <v>#REF!</v>
      </c>
      <c r="N13" s="2" t="e">
        <f>+#REF!</f>
        <v>#REF!</v>
      </c>
      <c r="O13" s="2" t="e">
        <f>+#REF!</f>
        <v>#REF!</v>
      </c>
      <c r="P13" s="2" t="e">
        <f>+#REF!</f>
        <v>#REF!</v>
      </c>
      <c r="Q13" s="2" t="e">
        <f>+#REF!</f>
        <v>#REF!</v>
      </c>
      <c r="R13" s="2" t="e">
        <f>+#REF!</f>
        <v>#REF!</v>
      </c>
      <c r="S13" s="2" t="e">
        <f>+#REF!</f>
        <v>#REF!</v>
      </c>
      <c r="T13" s="2" t="e">
        <f>+#REF!</f>
        <v>#REF!</v>
      </c>
      <c r="U13" s="2" t="e">
        <f>+#REF!</f>
        <v>#REF!</v>
      </c>
      <c r="V13" s="2" t="e">
        <f>+#REF!</f>
        <v>#REF!</v>
      </c>
      <c r="W13" s="2" t="e">
        <f>+#REF!</f>
        <v>#REF!</v>
      </c>
      <c r="X13" s="2" t="e">
        <f>+#REF!</f>
        <v>#REF!</v>
      </c>
      <c r="Y13" s="2" t="e">
        <f>+#REF!</f>
        <v>#REF!</v>
      </c>
      <c r="Z13" s="2" t="e">
        <f>+#REF!</f>
        <v>#REF!</v>
      </c>
      <c r="AA13" s="2" t="e">
        <f>+#REF!</f>
        <v>#REF!</v>
      </c>
      <c r="AB13" s="2" t="e">
        <f>+#REF!</f>
        <v>#REF!</v>
      </c>
      <c r="AC13" s="2" t="e">
        <f>+#REF!</f>
        <v>#REF!</v>
      </c>
      <c r="AD13" s="2" t="e">
        <f>+#REF!</f>
        <v>#REF!</v>
      </c>
      <c r="AE13" s="2" t="e">
        <f>+#REF!</f>
        <v>#REF!</v>
      </c>
      <c r="AF13" s="2" t="e">
        <f>+#REF!</f>
        <v>#REF!</v>
      </c>
      <c r="AG13" s="2" t="e">
        <f>+#REF!</f>
        <v>#REF!</v>
      </c>
      <c r="AH13" s="77" t="e">
        <f t="shared" ref="AH13:AH46" si="0">+W13+AB13+AG13</f>
        <v>#REF!</v>
      </c>
      <c r="AR13" s="81" t="e">
        <f>+#REF!</f>
        <v>#REF!</v>
      </c>
      <c r="AS13" s="2" t="e">
        <f>+#REF!</f>
        <v>#REF!</v>
      </c>
      <c r="AT13" s="2" t="e">
        <f>+#REF!</f>
        <v>#REF!</v>
      </c>
      <c r="AU13" s="2" t="e">
        <f>+#REF!</f>
        <v>#REF!</v>
      </c>
      <c r="AV13" s="79" t="e">
        <f t="shared" ref="AV13:AV46" si="1">SUM(AR13:AU13)</f>
        <v>#REF!</v>
      </c>
    </row>
    <row r="14" spans="1:48" ht="15.75" x14ac:dyDescent="0.3">
      <c r="A14" s="17"/>
      <c r="B14" t="s">
        <v>9</v>
      </c>
      <c r="C14" s="24" t="s">
        <v>9</v>
      </c>
      <c r="D14" s="35" t="e">
        <f>+SUMIF(#REF!,CONSOLIDADO!$C14,#REF!)</f>
        <v>#REF!</v>
      </c>
      <c r="E14" s="1" t="e">
        <f>+SUMIF(#REF!,CONSOLIDADO!$C14,#REF!)</f>
        <v>#REF!</v>
      </c>
      <c r="F14" s="1" t="e">
        <f>+SUMIF(#REF!,CONSOLIDADO!$C14,#REF!)</f>
        <v>#REF!</v>
      </c>
      <c r="G14" s="1" t="e">
        <f>+SUMIF(#REF!,CONSOLIDADO!$C14,#REF!)</f>
        <v>#REF!</v>
      </c>
      <c r="H14" s="116" t="e">
        <f>+SUMIF(#REF!,CONSOLIDADO!$C14,#REF!)</f>
        <v>#REF!</v>
      </c>
      <c r="I14" s="2" t="e">
        <f>+SUMIF(#REF!,CONSOLIDADO!$C14,#REF!)</f>
        <v>#REF!</v>
      </c>
      <c r="J14" s="2" t="e">
        <f>+SUMIF(#REF!,CONSOLIDADO!$C14,#REF!)</f>
        <v>#REF!</v>
      </c>
      <c r="K14" s="2" t="e">
        <f>+SUMIF(#REF!,CONSOLIDADO!$C14,#REF!)</f>
        <v>#REF!</v>
      </c>
      <c r="L14" s="2" t="e">
        <f>+SUMIF(#REF!,CONSOLIDADO!$C14,#REF!)</f>
        <v>#REF!</v>
      </c>
      <c r="M14" s="2" t="e">
        <f>+SUMIF(#REF!,CONSOLIDADO!$C14,#REF!)</f>
        <v>#REF!</v>
      </c>
      <c r="N14" s="2" t="e">
        <f>+SUMIF(#REF!,CONSOLIDADO!$C14,#REF!)</f>
        <v>#REF!</v>
      </c>
      <c r="O14" s="2" t="e">
        <f>+SUMIF(#REF!,CONSOLIDADO!$C14,#REF!)</f>
        <v>#REF!</v>
      </c>
      <c r="P14" s="2" t="e">
        <f>+SUMIF(#REF!,CONSOLIDADO!$C14,#REF!)</f>
        <v>#REF!</v>
      </c>
      <c r="Q14" s="2" t="e">
        <f>+SUMIF(#REF!,CONSOLIDADO!$C14,#REF!)</f>
        <v>#REF!</v>
      </c>
      <c r="R14" s="2" t="e">
        <f>+SUMIF(#REF!,CONSOLIDADO!$C14,#REF!)</f>
        <v>#REF!</v>
      </c>
      <c r="S14" s="2" t="e">
        <f>+SUMIF(#REF!,CONSOLIDADO!$C14,#REF!)</f>
        <v>#REF!</v>
      </c>
      <c r="T14" s="2" t="e">
        <f>+SUMIF(#REF!,CONSOLIDADO!$C14,#REF!)</f>
        <v>#REF!</v>
      </c>
      <c r="U14" s="2" t="e">
        <f>+SUMIF(#REF!,CONSOLIDADO!$C14,#REF!)</f>
        <v>#REF!</v>
      </c>
      <c r="V14" s="2" t="e">
        <f>+SUMIF(#REF!,CONSOLIDADO!$C14,#REF!)</f>
        <v>#REF!</v>
      </c>
      <c r="W14" s="2" t="e">
        <f>+SUMIF(#REF!,CONSOLIDADO!$C14,#REF!)</f>
        <v>#REF!</v>
      </c>
      <c r="X14" s="2" t="e">
        <f>+SUMIF(#REF!,CONSOLIDADO!$C14,#REF!)</f>
        <v>#REF!</v>
      </c>
      <c r="Y14" s="2" t="e">
        <f>+SUMIF(#REF!,CONSOLIDADO!$C14,#REF!)</f>
        <v>#REF!</v>
      </c>
      <c r="Z14" s="2" t="e">
        <f>+SUMIF(#REF!,CONSOLIDADO!$C14,#REF!)</f>
        <v>#REF!</v>
      </c>
      <c r="AA14" s="2" t="e">
        <f>+SUMIF(#REF!,CONSOLIDADO!$C14,#REF!)</f>
        <v>#REF!</v>
      </c>
      <c r="AB14" s="2" t="e">
        <f>+SUMIF(#REF!,CONSOLIDADO!$C14,#REF!)</f>
        <v>#REF!</v>
      </c>
      <c r="AC14" s="2" t="e">
        <f>+SUMIF(#REF!,CONSOLIDADO!$C14,#REF!)</f>
        <v>#REF!</v>
      </c>
      <c r="AD14" s="2" t="e">
        <f>+SUMIF(#REF!,CONSOLIDADO!$C14,#REF!)</f>
        <v>#REF!</v>
      </c>
      <c r="AE14" s="2" t="e">
        <f>+SUMIF(#REF!,CONSOLIDADO!$C14,#REF!)</f>
        <v>#REF!</v>
      </c>
      <c r="AF14" s="2" t="e">
        <f>+SUMIF(#REF!,CONSOLIDADO!$C14,#REF!)</f>
        <v>#REF!</v>
      </c>
      <c r="AG14" s="2" t="e">
        <f>+SUMIF(#REF!,CONSOLIDADO!$C14,#REF!)</f>
        <v>#REF!</v>
      </c>
      <c r="AH14" s="77" t="e">
        <f t="shared" si="0"/>
        <v>#REF!</v>
      </c>
      <c r="AR14" s="81" t="e">
        <f>+#REF!</f>
        <v>#REF!</v>
      </c>
      <c r="AS14" s="2" t="e">
        <f>+#REF!</f>
        <v>#REF!</v>
      </c>
      <c r="AT14" s="2" t="e">
        <f>+#REF!</f>
        <v>#REF!</v>
      </c>
      <c r="AU14" s="2" t="e">
        <f>+#REF!</f>
        <v>#REF!</v>
      </c>
      <c r="AV14" s="79" t="e">
        <f t="shared" si="1"/>
        <v>#REF!</v>
      </c>
    </row>
    <row r="15" spans="1:48" ht="15.75" x14ac:dyDescent="0.3">
      <c r="A15" s="17"/>
      <c r="B15" t="s">
        <v>23</v>
      </c>
      <c r="C15" s="24" t="s">
        <v>128</v>
      </c>
      <c r="D15" s="35" t="e">
        <f>+SUMIF(#REF!,CONSOLIDADO!$C15,#REF!)</f>
        <v>#REF!</v>
      </c>
      <c r="E15" s="1" t="e">
        <f>+SUMIF(#REF!,CONSOLIDADO!$C15,#REF!)</f>
        <v>#REF!</v>
      </c>
      <c r="F15" s="1" t="e">
        <f>+SUMIF(#REF!,CONSOLIDADO!$C15,#REF!)</f>
        <v>#REF!</v>
      </c>
      <c r="G15" s="1" t="e">
        <f>+SUMIF(#REF!,CONSOLIDADO!$C15,#REF!)</f>
        <v>#REF!</v>
      </c>
      <c r="H15" s="116" t="e">
        <f>+SUMIF(#REF!,CONSOLIDADO!$C15,#REF!)</f>
        <v>#REF!</v>
      </c>
      <c r="I15" s="2" t="e">
        <f>+SUMIF(#REF!,CONSOLIDADO!$C15,#REF!)</f>
        <v>#REF!</v>
      </c>
      <c r="J15" s="2" t="e">
        <f>+SUMIF(#REF!,CONSOLIDADO!$C15,#REF!)</f>
        <v>#REF!</v>
      </c>
      <c r="K15" s="2" t="e">
        <f>+SUMIF(#REF!,CONSOLIDADO!$C15,#REF!)</f>
        <v>#REF!</v>
      </c>
      <c r="L15" s="2" t="e">
        <f>+SUMIF(#REF!,CONSOLIDADO!$C15,#REF!)</f>
        <v>#REF!</v>
      </c>
      <c r="M15" s="2" t="e">
        <f>+SUMIF(#REF!,CONSOLIDADO!$C15,#REF!)</f>
        <v>#REF!</v>
      </c>
      <c r="N15" s="2" t="e">
        <f>+SUMIF(#REF!,CONSOLIDADO!$C15,#REF!)</f>
        <v>#REF!</v>
      </c>
      <c r="O15" s="2" t="e">
        <f>+SUMIF(#REF!,CONSOLIDADO!$C15,#REF!)</f>
        <v>#REF!</v>
      </c>
      <c r="P15" s="2" t="e">
        <f>+SUMIF(#REF!,CONSOLIDADO!$C15,#REF!)</f>
        <v>#REF!</v>
      </c>
      <c r="Q15" s="2" t="e">
        <f>+SUMIF(#REF!,CONSOLIDADO!$C15,#REF!)</f>
        <v>#REF!</v>
      </c>
      <c r="R15" s="2" t="e">
        <f>+SUMIF(#REF!,CONSOLIDADO!$C15,#REF!)</f>
        <v>#REF!</v>
      </c>
      <c r="S15" s="2" t="e">
        <f>+SUMIF(#REF!,CONSOLIDADO!$C15,#REF!)</f>
        <v>#REF!</v>
      </c>
      <c r="T15" s="2" t="e">
        <f>+SUMIF(#REF!,CONSOLIDADO!$C15,#REF!)</f>
        <v>#REF!</v>
      </c>
      <c r="U15" s="2" t="e">
        <f>+SUMIF(#REF!,CONSOLIDADO!$C15,#REF!)</f>
        <v>#REF!</v>
      </c>
      <c r="V15" s="2" t="e">
        <f>+SUMIF(#REF!,CONSOLIDADO!$C15,#REF!)</f>
        <v>#REF!</v>
      </c>
      <c r="W15" s="2" t="e">
        <f>+SUMIF(#REF!,CONSOLIDADO!$C15,#REF!)</f>
        <v>#REF!</v>
      </c>
      <c r="X15" s="2" t="e">
        <f>+SUMIF(#REF!,CONSOLIDADO!$C15,#REF!)</f>
        <v>#REF!</v>
      </c>
      <c r="Y15" s="2" t="e">
        <f>+SUMIF(#REF!,CONSOLIDADO!$C15,#REF!)</f>
        <v>#REF!</v>
      </c>
      <c r="Z15" s="2" t="e">
        <f>+SUMIF(#REF!,CONSOLIDADO!$C15,#REF!)</f>
        <v>#REF!</v>
      </c>
      <c r="AA15" s="2" t="e">
        <f>+SUMIF(#REF!,CONSOLIDADO!$C15,#REF!)</f>
        <v>#REF!</v>
      </c>
      <c r="AB15" s="2" t="e">
        <f>+SUMIF(#REF!,CONSOLIDADO!$C15,#REF!)</f>
        <v>#REF!</v>
      </c>
      <c r="AC15" s="2" t="e">
        <f>+SUMIF(#REF!,CONSOLIDADO!$C15,#REF!)</f>
        <v>#REF!</v>
      </c>
      <c r="AD15" s="2" t="e">
        <f>+SUMIF(#REF!,CONSOLIDADO!$C15,#REF!)</f>
        <v>#REF!</v>
      </c>
      <c r="AE15" s="2" t="e">
        <f>+SUMIF(#REF!,CONSOLIDADO!$C15,#REF!)</f>
        <v>#REF!</v>
      </c>
      <c r="AF15" s="2" t="e">
        <f>+SUMIF(#REF!,CONSOLIDADO!$C15,#REF!)</f>
        <v>#REF!</v>
      </c>
      <c r="AG15" s="2" t="e">
        <f>+SUMIF(#REF!,CONSOLIDADO!$C15,#REF!)</f>
        <v>#REF!</v>
      </c>
      <c r="AH15" s="77" t="e">
        <f t="shared" ref="AH15:AH16" si="2">+W15+AB15+AG15</f>
        <v>#REF!</v>
      </c>
      <c r="AR15" s="81" t="e">
        <f>+#REF!</f>
        <v>#REF!</v>
      </c>
      <c r="AS15" s="2" t="e">
        <f>+#REF!</f>
        <v>#REF!</v>
      </c>
      <c r="AT15" s="2" t="e">
        <f>+#REF!</f>
        <v>#REF!</v>
      </c>
      <c r="AU15" s="2" t="e">
        <f>+#REF!</f>
        <v>#REF!</v>
      </c>
      <c r="AV15" s="79" t="e">
        <f t="shared" ref="AV15:AV16" si="3">SUM(AR15:AU15)</f>
        <v>#REF!</v>
      </c>
    </row>
    <row r="16" spans="1:48" ht="15.75" x14ac:dyDescent="0.3">
      <c r="A16" s="17"/>
      <c r="B16" t="s">
        <v>23</v>
      </c>
      <c r="C16" s="24" t="s">
        <v>129</v>
      </c>
      <c r="D16" s="35" t="e">
        <f>+SUMIF(#REF!,CONSOLIDADO!$C16,#REF!)</f>
        <v>#REF!</v>
      </c>
      <c r="E16" s="1" t="e">
        <f>+SUMIF(#REF!,CONSOLIDADO!$C16,#REF!)</f>
        <v>#REF!</v>
      </c>
      <c r="F16" s="1" t="e">
        <f>+SUMIF(#REF!,CONSOLIDADO!$C16,#REF!)</f>
        <v>#REF!</v>
      </c>
      <c r="G16" s="1" t="e">
        <f>+SUMIF(#REF!,CONSOLIDADO!$C16,#REF!)</f>
        <v>#REF!</v>
      </c>
      <c r="H16" s="116" t="e">
        <f>+SUMIF(#REF!,CONSOLIDADO!$C16,#REF!)</f>
        <v>#REF!</v>
      </c>
      <c r="I16" s="2" t="e">
        <f>+SUMIF(#REF!,CONSOLIDADO!$C16,#REF!)</f>
        <v>#REF!</v>
      </c>
      <c r="J16" s="2" t="e">
        <f>+SUMIF(#REF!,CONSOLIDADO!$C16,#REF!)</f>
        <v>#REF!</v>
      </c>
      <c r="K16" s="2" t="e">
        <f>+SUMIF(#REF!,CONSOLIDADO!$C16,#REF!)</f>
        <v>#REF!</v>
      </c>
      <c r="L16" s="2" t="e">
        <f>+SUMIF(#REF!,CONSOLIDADO!$C16,#REF!)</f>
        <v>#REF!</v>
      </c>
      <c r="M16" s="2" t="e">
        <f>+SUMIF(#REF!,CONSOLIDADO!$C16,#REF!)</f>
        <v>#REF!</v>
      </c>
      <c r="N16" s="2" t="e">
        <f>+SUMIF(#REF!,CONSOLIDADO!$C16,#REF!)</f>
        <v>#REF!</v>
      </c>
      <c r="O16" s="2" t="e">
        <f>+SUMIF(#REF!,CONSOLIDADO!$C16,#REF!)</f>
        <v>#REF!</v>
      </c>
      <c r="P16" s="2" t="e">
        <f>+SUMIF(#REF!,CONSOLIDADO!$C16,#REF!)</f>
        <v>#REF!</v>
      </c>
      <c r="Q16" s="2" t="e">
        <f>+SUMIF(#REF!,CONSOLIDADO!$C16,#REF!)</f>
        <v>#REF!</v>
      </c>
      <c r="R16" s="2" t="e">
        <f>+SUMIF(#REF!,CONSOLIDADO!$C16,#REF!)</f>
        <v>#REF!</v>
      </c>
      <c r="S16" s="2" t="e">
        <f>+SUMIF(#REF!,CONSOLIDADO!$C16,#REF!)</f>
        <v>#REF!</v>
      </c>
      <c r="T16" s="2" t="e">
        <f>+SUMIF(#REF!,CONSOLIDADO!$C16,#REF!)</f>
        <v>#REF!</v>
      </c>
      <c r="U16" s="2" t="e">
        <f>+SUMIF(#REF!,CONSOLIDADO!$C16,#REF!)</f>
        <v>#REF!</v>
      </c>
      <c r="V16" s="2" t="e">
        <f>+SUMIF(#REF!,CONSOLIDADO!$C16,#REF!)</f>
        <v>#REF!</v>
      </c>
      <c r="W16" s="2" t="e">
        <f>+SUMIF(#REF!,CONSOLIDADO!$C16,#REF!)</f>
        <v>#REF!</v>
      </c>
      <c r="X16" s="2" t="e">
        <f>+SUMIF(#REF!,CONSOLIDADO!$C16,#REF!)</f>
        <v>#REF!</v>
      </c>
      <c r="Y16" s="2" t="e">
        <f>+SUMIF(#REF!,CONSOLIDADO!$C16,#REF!)</f>
        <v>#REF!</v>
      </c>
      <c r="Z16" s="2" t="e">
        <f>+SUMIF(#REF!,CONSOLIDADO!$C16,#REF!)</f>
        <v>#REF!</v>
      </c>
      <c r="AA16" s="2" t="e">
        <f>+SUMIF(#REF!,CONSOLIDADO!$C16,#REF!)</f>
        <v>#REF!</v>
      </c>
      <c r="AB16" s="2" t="e">
        <f>+SUMIF(#REF!,CONSOLIDADO!$C16,#REF!)</f>
        <v>#REF!</v>
      </c>
      <c r="AC16" s="2" t="e">
        <f>+SUMIF(#REF!,CONSOLIDADO!$C16,#REF!)</f>
        <v>#REF!</v>
      </c>
      <c r="AD16" s="2" t="e">
        <f>+SUMIF(#REF!,CONSOLIDADO!$C16,#REF!)</f>
        <v>#REF!</v>
      </c>
      <c r="AE16" s="2" t="e">
        <f>+SUMIF(#REF!,CONSOLIDADO!$C16,#REF!)</f>
        <v>#REF!</v>
      </c>
      <c r="AF16" s="2" t="e">
        <f>+SUMIF(#REF!,CONSOLIDADO!$C16,#REF!)</f>
        <v>#REF!</v>
      </c>
      <c r="AG16" s="2" t="e">
        <f>+SUMIF(#REF!,CONSOLIDADO!$C16,#REF!)</f>
        <v>#REF!</v>
      </c>
      <c r="AH16" s="77" t="e">
        <f t="shared" si="2"/>
        <v>#REF!</v>
      </c>
      <c r="AR16" s="81" t="e">
        <f>+#REF!</f>
        <v>#REF!</v>
      </c>
      <c r="AS16" s="2" t="e">
        <f>+#REF!</f>
        <v>#REF!</v>
      </c>
      <c r="AT16" s="2" t="e">
        <f>+#REF!</f>
        <v>#REF!</v>
      </c>
      <c r="AU16" s="2" t="e">
        <f>+#REF!</f>
        <v>#REF!</v>
      </c>
      <c r="AV16" s="79" t="e">
        <f t="shared" si="3"/>
        <v>#REF!</v>
      </c>
    </row>
    <row r="17" spans="1:48" ht="15.75" x14ac:dyDescent="0.3">
      <c r="A17" s="17"/>
      <c r="B17" t="s">
        <v>23</v>
      </c>
      <c r="C17" s="24" t="s">
        <v>127</v>
      </c>
      <c r="D17" s="35" t="e">
        <f>+SUMIF(#REF!,CONSOLIDADO!$C17,#REF!)</f>
        <v>#REF!</v>
      </c>
      <c r="E17" s="1" t="e">
        <f>+SUMIF(#REF!,CONSOLIDADO!$C17,#REF!)</f>
        <v>#REF!</v>
      </c>
      <c r="F17" s="1" t="e">
        <f>+SUMIF(#REF!,CONSOLIDADO!$C17,#REF!)</f>
        <v>#REF!</v>
      </c>
      <c r="G17" s="1" t="e">
        <f>+SUMIF(#REF!,CONSOLIDADO!$C17,#REF!)</f>
        <v>#REF!</v>
      </c>
      <c r="H17" s="116" t="e">
        <f>+SUMIF(#REF!,CONSOLIDADO!$C17,#REF!)</f>
        <v>#REF!</v>
      </c>
      <c r="I17" s="2" t="e">
        <f>+SUMIF(#REF!,CONSOLIDADO!$C17,#REF!)</f>
        <v>#REF!</v>
      </c>
      <c r="J17" s="2" t="e">
        <f>+SUMIF(#REF!,CONSOLIDADO!$C17,#REF!)</f>
        <v>#REF!</v>
      </c>
      <c r="K17" s="2" t="e">
        <f>+SUMIF(#REF!,CONSOLIDADO!$C17,#REF!)</f>
        <v>#REF!</v>
      </c>
      <c r="L17" s="2" t="e">
        <f>+SUMIF(#REF!,CONSOLIDADO!$C17,#REF!)</f>
        <v>#REF!</v>
      </c>
      <c r="M17" s="2" t="e">
        <f>+SUMIF(#REF!,CONSOLIDADO!$C17,#REF!)</f>
        <v>#REF!</v>
      </c>
      <c r="N17" s="2" t="e">
        <f>+SUMIF(#REF!,CONSOLIDADO!$C17,#REF!)</f>
        <v>#REF!</v>
      </c>
      <c r="O17" s="2" t="e">
        <f>+SUMIF(#REF!,CONSOLIDADO!$C17,#REF!)</f>
        <v>#REF!</v>
      </c>
      <c r="P17" s="2" t="e">
        <f>+SUMIF(#REF!,CONSOLIDADO!$C17,#REF!)</f>
        <v>#REF!</v>
      </c>
      <c r="Q17" s="2" t="e">
        <f>+SUMIF(#REF!,CONSOLIDADO!$C17,#REF!)</f>
        <v>#REF!</v>
      </c>
      <c r="R17" s="2" t="e">
        <f>+SUMIF(#REF!,CONSOLIDADO!$C17,#REF!)</f>
        <v>#REF!</v>
      </c>
      <c r="S17" s="2" t="e">
        <f>+SUMIF(#REF!,CONSOLIDADO!$C17,#REF!)</f>
        <v>#REF!</v>
      </c>
      <c r="T17" s="2" t="e">
        <f>+SUMIF(#REF!,CONSOLIDADO!$C17,#REF!)</f>
        <v>#REF!</v>
      </c>
      <c r="U17" s="2" t="e">
        <f>+SUMIF(#REF!,CONSOLIDADO!$C17,#REF!)</f>
        <v>#REF!</v>
      </c>
      <c r="V17" s="2" t="e">
        <f>+SUMIF(#REF!,CONSOLIDADO!$C17,#REF!)</f>
        <v>#REF!</v>
      </c>
      <c r="W17" s="2" t="e">
        <f>+SUMIF(#REF!,CONSOLIDADO!$C17,#REF!)</f>
        <v>#REF!</v>
      </c>
      <c r="X17" s="2" t="e">
        <f>+SUMIF(#REF!,CONSOLIDADO!$C17,#REF!)</f>
        <v>#REF!</v>
      </c>
      <c r="Y17" s="2" t="e">
        <f>+SUMIF(#REF!,CONSOLIDADO!$C17,#REF!)</f>
        <v>#REF!</v>
      </c>
      <c r="Z17" s="2" t="e">
        <f>+SUMIF(#REF!,CONSOLIDADO!$C17,#REF!)</f>
        <v>#REF!</v>
      </c>
      <c r="AA17" s="2" t="e">
        <f>+SUMIF(#REF!,CONSOLIDADO!$C17,#REF!)</f>
        <v>#REF!</v>
      </c>
      <c r="AB17" s="2" t="e">
        <f>+SUMIF(#REF!,CONSOLIDADO!$C17,#REF!)</f>
        <v>#REF!</v>
      </c>
      <c r="AC17" s="2" t="e">
        <f>+SUMIF(#REF!,CONSOLIDADO!$C17,#REF!)</f>
        <v>#REF!</v>
      </c>
      <c r="AD17" s="2" t="e">
        <f>+SUMIF(#REF!,CONSOLIDADO!$C17,#REF!)</f>
        <v>#REF!</v>
      </c>
      <c r="AE17" s="2" t="e">
        <f>+SUMIF(#REF!,CONSOLIDADO!$C17,#REF!)</f>
        <v>#REF!</v>
      </c>
      <c r="AF17" s="2" t="e">
        <f>+SUMIF(#REF!,CONSOLIDADO!$C17,#REF!)</f>
        <v>#REF!</v>
      </c>
      <c r="AG17" s="2" t="e">
        <f>+SUMIF(#REF!,CONSOLIDADO!$C17,#REF!)</f>
        <v>#REF!</v>
      </c>
      <c r="AH17" s="77" t="e">
        <f t="shared" ref="AH17" si="4">+W17+AB17+AG17</f>
        <v>#REF!</v>
      </c>
      <c r="AR17" s="81" t="e">
        <f>+#REF!</f>
        <v>#REF!</v>
      </c>
      <c r="AS17" s="2" t="e">
        <f>+#REF!</f>
        <v>#REF!</v>
      </c>
      <c r="AT17" s="2" t="e">
        <f>+#REF!</f>
        <v>#REF!</v>
      </c>
      <c r="AU17" s="2" t="e">
        <f>+#REF!</f>
        <v>#REF!</v>
      </c>
      <c r="AV17" s="79" t="e">
        <f t="shared" ref="AV17" si="5">SUM(AR17:AU17)</f>
        <v>#REF!</v>
      </c>
    </row>
    <row r="18" spans="1:48" ht="15.75" x14ac:dyDescent="0.3">
      <c r="A18" s="17"/>
      <c r="B18" t="s">
        <v>23</v>
      </c>
      <c r="C18" s="24" t="s">
        <v>5</v>
      </c>
      <c r="D18" s="35" t="e">
        <f>+#REF!</f>
        <v>#REF!</v>
      </c>
      <c r="E18" s="117" t="e">
        <f>+#REF!</f>
        <v>#REF!</v>
      </c>
      <c r="F18" s="117" t="e">
        <f>+#REF!</f>
        <v>#REF!</v>
      </c>
      <c r="G18" s="117" t="e">
        <f>+#REF!</f>
        <v>#REF!</v>
      </c>
      <c r="H18" s="2" t="e">
        <f>+#REF!</f>
        <v>#REF!</v>
      </c>
      <c r="I18" s="2" t="e">
        <f>+#REF!</f>
        <v>#REF!</v>
      </c>
      <c r="J18" s="2" t="e">
        <f>+#REF!</f>
        <v>#REF!</v>
      </c>
      <c r="K18" s="2" t="e">
        <f>+#REF!</f>
        <v>#REF!</v>
      </c>
      <c r="L18" s="2" t="e">
        <f>+#REF!</f>
        <v>#REF!</v>
      </c>
      <c r="M18" s="2" t="e">
        <f>+#REF!</f>
        <v>#REF!</v>
      </c>
      <c r="N18" s="2" t="e">
        <f>+#REF!</f>
        <v>#REF!</v>
      </c>
      <c r="O18" s="2" t="e">
        <f>+#REF!</f>
        <v>#REF!</v>
      </c>
      <c r="P18" s="2" t="e">
        <f>+#REF!</f>
        <v>#REF!</v>
      </c>
      <c r="Q18" s="2" t="e">
        <f>+#REF!</f>
        <v>#REF!</v>
      </c>
      <c r="R18" s="2" t="e">
        <f>+#REF!</f>
        <v>#REF!</v>
      </c>
      <c r="S18" s="2" t="e">
        <f>+#REF!</f>
        <v>#REF!</v>
      </c>
      <c r="T18" s="2" t="e">
        <f>+#REF!</f>
        <v>#REF!</v>
      </c>
      <c r="U18" s="2" t="e">
        <f>+#REF!</f>
        <v>#REF!</v>
      </c>
      <c r="V18" s="2" t="e">
        <f>+#REF!</f>
        <v>#REF!</v>
      </c>
      <c r="W18" s="2" t="e">
        <f>+#REF!</f>
        <v>#REF!</v>
      </c>
      <c r="X18" s="2" t="e">
        <f>+#REF!</f>
        <v>#REF!</v>
      </c>
      <c r="Y18" s="2" t="e">
        <f>+#REF!</f>
        <v>#REF!</v>
      </c>
      <c r="Z18" s="2" t="e">
        <f>+#REF!</f>
        <v>#REF!</v>
      </c>
      <c r="AA18" s="2" t="e">
        <f>+#REF!</f>
        <v>#REF!</v>
      </c>
      <c r="AB18" s="2" t="e">
        <f>+#REF!</f>
        <v>#REF!</v>
      </c>
      <c r="AC18" s="2" t="e">
        <f>+#REF!</f>
        <v>#REF!</v>
      </c>
      <c r="AD18" s="2" t="e">
        <f>+#REF!</f>
        <v>#REF!</v>
      </c>
      <c r="AE18" s="2" t="e">
        <f>+#REF!</f>
        <v>#REF!</v>
      </c>
      <c r="AF18" s="2" t="e">
        <f>+#REF!</f>
        <v>#REF!</v>
      </c>
      <c r="AG18" s="2" t="e">
        <f>+#REF!</f>
        <v>#REF!</v>
      </c>
      <c r="AH18" s="77" t="e">
        <f t="shared" si="0"/>
        <v>#REF!</v>
      </c>
      <c r="AR18" s="2" t="e">
        <f>+#REF!</f>
        <v>#REF!</v>
      </c>
      <c r="AS18" s="2" t="e">
        <f>+#REF!</f>
        <v>#REF!</v>
      </c>
      <c r="AT18" s="2" t="e">
        <f>+#REF!</f>
        <v>#REF!</v>
      </c>
      <c r="AU18" s="2" t="e">
        <f>+#REF!</f>
        <v>#REF!</v>
      </c>
      <c r="AV18" s="79" t="e">
        <f t="shared" si="1"/>
        <v>#REF!</v>
      </c>
    </row>
    <row r="19" spans="1:48" ht="15.75" x14ac:dyDescent="0.3">
      <c r="A19" s="17"/>
      <c r="B19" t="s">
        <v>14</v>
      </c>
      <c r="C19" s="24" t="s">
        <v>14</v>
      </c>
      <c r="D19" s="35" t="e">
        <f>+#REF!</f>
        <v>#REF!</v>
      </c>
      <c r="E19" s="1" t="e">
        <f>+#REF!</f>
        <v>#REF!</v>
      </c>
      <c r="F19" s="1" t="e">
        <f>+#REF!</f>
        <v>#REF!</v>
      </c>
      <c r="G19" s="1" t="e">
        <f>+#REF!</f>
        <v>#REF!</v>
      </c>
      <c r="H19" s="2" t="e">
        <f>+#REF!</f>
        <v>#REF!</v>
      </c>
      <c r="I19" s="2" t="e">
        <f>+#REF!</f>
        <v>#REF!</v>
      </c>
      <c r="J19" s="2" t="e">
        <f>+#REF!</f>
        <v>#REF!</v>
      </c>
      <c r="K19" s="2" t="e">
        <f>+#REF!</f>
        <v>#REF!</v>
      </c>
      <c r="L19" s="2" t="e">
        <f>+#REF!</f>
        <v>#REF!</v>
      </c>
      <c r="M19" s="2" t="e">
        <f>+#REF!</f>
        <v>#REF!</v>
      </c>
      <c r="N19" s="2" t="e">
        <f>+#REF!</f>
        <v>#REF!</v>
      </c>
      <c r="O19" s="2" t="e">
        <f>+#REF!</f>
        <v>#REF!</v>
      </c>
      <c r="P19" s="2" t="e">
        <f>+#REF!</f>
        <v>#REF!</v>
      </c>
      <c r="Q19" s="2" t="e">
        <f>+#REF!</f>
        <v>#REF!</v>
      </c>
      <c r="R19" s="2" t="e">
        <f>+#REF!</f>
        <v>#REF!</v>
      </c>
      <c r="S19" s="2" t="e">
        <f>+#REF!</f>
        <v>#REF!</v>
      </c>
      <c r="T19" s="2" t="e">
        <f>+#REF!</f>
        <v>#REF!</v>
      </c>
      <c r="U19" s="2" t="e">
        <f>+#REF!</f>
        <v>#REF!</v>
      </c>
      <c r="V19" s="2" t="e">
        <f>+#REF!</f>
        <v>#REF!</v>
      </c>
      <c r="W19" s="2" t="e">
        <f>+#REF!</f>
        <v>#REF!</v>
      </c>
      <c r="X19" s="2" t="e">
        <f>+#REF!</f>
        <v>#REF!</v>
      </c>
      <c r="Y19" s="2" t="e">
        <f>+#REF!</f>
        <v>#REF!</v>
      </c>
      <c r="Z19" s="2" t="e">
        <f>+#REF!</f>
        <v>#REF!</v>
      </c>
      <c r="AA19" s="2" t="e">
        <f>+#REF!</f>
        <v>#REF!</v>
      </c>
      <c r="AB19" s="2" t="e">
        <f>+#REF!</f>
        <v>#REF!</v>
      </c>
      <c r="AC19" s="2" t="e">
        <f>+#REF!</f>
        <v>#REF!</v>
      </c>
      <c r="AD19" s="2" t="e">
        <f>+#REF!</f>
        <v>#REF!</v>
      </c>
      <c r="AE19" s="2" t="e">
        <f>+#REF!</f>
        <v>#REF!</v>
      </c>
      <c r="AF19" s="2" t="e">
        <f>+#REF!</f>
        <v>#REF!</v>
      </c>
      <c r="AG19" s="2" t="e">
        <f>+#REF!</f>
        <v>#REF!</v>
      </c>
      <c r="AH19" s="77" t="e">
        <f t="shared" si="0"/>
        <v>#REF!</v>
      </c>
      <c r="AR19" s="81" t="e">
        <f>+#REF!</f>
        <v>#REF!</v>
      </c>
      <c r="AS19" s="2" t="e">
        <f>+#REF!</f>
        <v>#REF!</v>
      </c>
      <c r="AT19" s="2" t="e">
        <f>+#REF!</f>
        <v>#REF!</v>
      </c>
      <c r="AU19" s="2" t="e">
        <f>+#REF!</f>
        <v>#REF!</v>
      </c>
      <c r="AV19" s="79" t="e">
        <f t="shared" si="1"/>
        <v>#REF!</v>
      </c>
    </row>
    <row r="20" spans="1:48" ht="15.75" x14ac:dyDescent="0.3">
      <c r="A20" s="17"/>
      <c r="B20" t="s">
        <v>21</v>
      </c>
      <c r="C20" s="24" t="s">
        <v>21</v>
      </c>
      <c r="D20" s="35" t="e">
        <f>+#REF!</f>
        <v>#REF!</v>
      </c>
      <c r="E20" s="1" t="e">
        <f>+#REF!</f>
        <v>#REF!</v>
      </c>
      <c r="F20" s="1" t="e">
        <f>+#REF!</f>
        <v>#REF!</v>
      </c>
      <c r="G20" s="1" t="e">
        <f>+#REF!</f>
        <v>#REF!</v>
      </c>
      <c r="H20" s="2" t="e">
        <f>+#REF!</f>
        <v>#REF!</v>
      </c>
      <c r="I20" s="2" t="e">
        <f>+#REF!</f>
        <v>#REF!</v>
      </c>
      <c r="J20" s="2" t="e">
        <f>+#REF!</f>
        <v>#REF!</v>
      </c>
      <c r="K20" s="2" t="e">
        <f>+#REF!</f>
        <v>#REF!</v>
      </c>
      <c r="L20" s="2" t="e">
        <f>+#REF!</f>
        <v>#REF!</v>
      </c>
      <c r="M20" s="2" t="e">
        <f>+#REF!</f>
        <v>#REF!</v>
      </c>
      <c r="N20" s="2" t="e">
        <f>+#REF!</f>
        <v>#REF!</v>
      </c>
      <c r="O20" s="2" t="e">
        <f>+#REF!</f>
        <v>#REF!</v>
      </c>
      <c r="P20" s="2" t="e">
        <f>+#REF!</f>
        <v>#REF!</v>
      </c>
      <c r="Q20" s="2" t="e">
        <f>+#REF!</f>
        <v>#REF!</v>
      </c>
      <c r="R20" s="2" t="e">
        <f>+#REF!</f>
        <v>#REF!</v>
      </c>
      <c r="S20" s="2" t="e">
        <f>+#REF!</f>
        <v>#REF!</v>
      </c>
      <c r="T20" s="2" t="e">
        <f>+#REF!</f>
        <v>#REF!</v>
      </c>
      <c r="U20" s="2" t="e">
        <f>+#REF!</f>
        <v>#REF!</v>
      </c>
      <c r="V20" s="2" t="e">
        <f>+#REF!</f>
        <v>#REF!</v>
      </c>
      <c r="W20" s="2" t="e">
        <f>+#REF!</f>
        <v>#REF!</v>
      </c>
      <c r="X20" s="2" t="e">
        <f>+#REF!</f>
        <v>#REF!</v>
      </c>
      <c r="Y20" s="2" t="e">
        <f>+#REF!</f>
        <v>#REF!</v>
      </c>
      <c r="Z20" s="2" t="e">
        <f>+#REF!</f>
        <v>#REF!</v>
      </c>
      <c r="AA20" s="2" t="e">
        <f>+#REF!</f>
        <v>#REF!</v>
      </c>
      <c r="AB20" s="2" t="e">
        <f>+#REF!</f>
        <v>#REF!</v>
      </c>
      <c r="AC20" s="2" t="e">
        <f>+#REF!</f>
        <v>#REF!</v>
      </c>
      <c r="AD20" s="2" t="e">
        <f>+#REF!</f>
        <v>#REF!</v>
      </c>
      <c r="AE20" s="2" t="e">
        <f>+#REF!</f>
        <v>#REF!</v>
      </c>
      <c r="AF20" s="2" t="e">
        <f>+#REF!</f>
        <v>#REF!</v>
      </c>
      <c r="AG20" s="2" t="e">
        <f>+#REF!</f>
        <v>#REF!</v>
      </c>
      <c r="AH20" s="77" t="e">
        <f t="shared" si="0"/>
        <v>#REF!</v>
      </c>
      <c r="AR20" s="81" t="e">
        <f>+#REF!</f>
        <v>#REF!</v>
      </c>
      <c r="AS20" s="2" t="e">
        <f>+#REF!</f>
        <v>#REF!</v>
      </c>
      <c r="AT20" s="2" t="e">
        <f>+#REF!</f>
        <v>#REF!</v>
      </c>
      <c r="AU20" s="2" t="e">
        <f>+#REF!</f>
        <v>#REF!</v>
      </c>
      <c r="AV20" s="79" t="e">
        <f t="shared" si="1"/>
        <v>#REF!</v>
      </c>
    </row>
    <row r="21" spans="1:48" ht="15.75" x14ac:dyDescent="0.3">
      <c r="A21" s="17"/>
      <c r="B21" t="s">
        <v>20</v>
      </c>
      <c r="C21" s="24" t="s">
        <v>20</v>
      </c>
      <c r="D21" s="35" t="e">
        <f>+#REF!</f>
        <v>#REF!</v>
      </c>
      <c r="E21" s="1" t="e">
        <f>+#REF!</f>
        <v>#REF!</v>
      </c>
      <c r="F21" s="1" t="e">
        <f>+#REF!</f>
        <v>#REF!</v>
      </c>
      <c r="G21" s="1" t="e">
        <f>+#REF!</f>
        <v>#REF!</v>
      </c>
      <c r="H21" s="2" t="e">
        <f>+#REF!</f>
        <v>#REF!</v>
      </c>
      <c r="I21" s="2" t="e">
        <f>+#REF!</f>
        <v>#REF!</v>
      </c>
      <c r="J21" s="2" t="e">
        <f>+#REF!</f>
        <v>#REF!</v>
      </c>
      <c r="K21" s="2" t="e">
        <f>+#REF!</f>
        <v>#REF!</v>
      </c>
      <c r="L21" s="2" t="e">
        <f>+#REF!</f>
        <v>#REF!</v>
      </c>
      <c r="M21" s="2" t="e">
        <f>+#REF!</f>
        <v>#REF!</v>
      </c>
      <c r="N21" s="2" t="e">
        <f>+#REF!</f>
        <v>#REF!</v>
      </c>
      <c r="O21" s="2" t="e">
        <f>+#REF!</f>
        <v>#REF!</v>
      </c>
      <c r="P21" s="2" t="e">
        <f>+#REF!</f>
        <v>#REF!</v>
      </c>
      <c r="Q21" s="2" t="e">
        <f>+#REF!</f>
        <v>#REF!</v>
      </c>
      <c r="R21" s="2" t="e">
        <f>+#REF!</f>
        <v>#REF!</v>
      </c>
      <c r="S21" s="2" t="e">
        <f>+#REF!</f>
        <v>#REF!</v>
      </c>
      <c r="T21" s="2" t="e">
        <f>+#REF!</f>
        <v>#REF!</v>
      </c>
      <c r="U21" s="2" t="e">
        <f>+#REF!</f>
        <v>#REF!</v>
      </c>
      <c r="V21" s="2" t="e">
        <f>+#REF!</f>
        <v>#REF!</v>
      </c>
      <c r="W21" s="2" t="e">
        <f>+#REF!</f>
        <v>#REF!</v>
      </c>
      <c r="X21" s="2" t="e">
        <f>+#REF!</f>
        <v>#REF!</v>
      </c>
      <c r="Y21" s="2" t="e">
        <f>+#REF!</f>
        <v>#REF!</v>
      </c>
      <c r="Z21" s="2" t="e">
        <f>+#REF!</f>
        <v>#REF!</v>
      </c>
      <c r="AA21" s="2" t="e">
        <f>+#REF!</f>
        <v>#REF!</v>
      </c>
      <c r="AB21" s="2" t="e">
        <f>+#REF!</f>
        <v>#REF!</v>
      </c>
      <c r="AC21" s="2" t="e">
        <f>+#REF!</f>
        <v>#REF!</v>
      </c>
      <c r="AD21" s="2" t="e">
        <f>+#REF!</f>
        <v>#REF!</v>
      </c>
      <c r="AE21" s="2" t="e">
        <f>+#REF!</f>
        <v>#REF!</v>
      </c>
      <c r="AF21" s="2" t="e">
        <f>+#REF!</f>
        <v>#REF!</v>
      </c>
      <c r="AG21" s="2" t="e">
        <f>+#REF!</f>
        <v>#REF!</v>
      </c>
      <c r="AH21" s="77" t="e">
        <f t="shared" si="0"/>
        <v>#REF!</v>
      </c>
      <c r="AR21" s="81" t="e">
        <f>+#REF!</f>
        <v>#REF!</v>
      </c>
      <c r="AS21" s="2" t="e">
        <f>+#REF!</f>
        <v>#REF!</v>
      </c>
      <c r="AT21" s="2" t="e">
        <f>+#REF!</f>
        <v>#REF!</v>
      </c>
      <c r="AU21" s="2" t="e">
        <f>+#REF!</f>
        <v>#REF!</v>
      </c>
      <c r="AV21" s="79" t="e">
        <f t="shared" si="1"/>
        <v>#REF!</v>
      </c>
    </row>
    <row r="22" spans="1:48" ht="16.399999999999999" thickBot="1" x14ac:dyDescent="0.35">
      <c r="A22" s="17"/>
      <c r="B22" t="s">
        <v>21</v>
      </c>
      <c r="C22" s="38" t="s">
        <v>19</v>
      </c>
      <c r="D22" s="39" t="e">
        <f>+#REF!</f>
        <v>#REF!</v>
      </c>
      <c r="E22" s="40" t="e">
        <f>+#REF!</f>
        <v>#REF!</v>
      </c>
      <c r="F22" s="40" t="e">
        <f>+#REF!</f>
        <v>#REF!</v>
      </c>
      <c r="G22" s="40" t="e">
        <f>+#REF!</f>
        <v>#REF!</v>
      </c>
      <c r="H22" s="49" t="e">
        <f>+#REF!</f>
        <v>#REF!</v>
      </c>
      <c r="I22" s="49" t="e">
        <f>+#REF!</f>
        <v>#REF!</v>
      </c>
      <c r="J22" s="49" t="e">
        <f>+#REF!</f>
        <v>#REF!</v>
      </c>
      <c r="K22" s="49" t="e">
        <f>+#REF!</f>
        <v>#REF!</v>
      </c>
      <c r="L22" s="49" t="e">
        <f>+#REF!</f>
        <v>#REF!</v>
      </c>
      <c r="M22" s="49" t="e">
        <f>+#REF!</f>
        <v>#REF!</v>
      </c>
      <c r="N22" s="49" t="e">
        <f>+#REF!</f>
        <v>#REF!</v>
      </c>
      <c r="O22" s="49" t="e">
        <f>+#REF!</f>
        <v>#REF!</v>
      </c>
      <c r="P22" s="49" t="e">
        <f>+#REF!</f>
        <v>#REF!</v>
      </c>
      <c r="Q22" s="49" t="e">
        <f>+#REF!</f>
        <v>#REF!</v>
      </c>
      <c r="R22" s="49" t="e">
        <f>+#REF!</f>
        <v>#REF!</v>
      </c>
      <c r="S22" s="49" t="e">
        <f>+#REF!</f>
        <v>#REF!</v>
      </c>
      <c r="T22" s="49" t="e">
        <f>+#REF!</f>
        <v>#REF!</v>
      </c>
      <c r="U22" s="49" t="e">
        <f>+#REF!</f>
        <v>#REF!</v>
      </c>
      <c r="V22" s="49" t="e">
        <f>+#REF!</f>
        <v>#REF!</v>
      </c>
      <c r="W22" s="49" t="e">
        <f>+#REF!</f>
        <v>#REF!</v>
      </c>
      <c r="X22" s="49" t="e">
        <f>+#REF!</f>
        <v>#REF!</v>
      </c>
      <c r="Y22" s="49" t="e">
        <f>+#REF!</f>
        <v>#REF!</v>
      </c>
      <c r="Z22" s="49" t="e">
        <f>+#REF!</f>
        <v>#REF!</v>
      </c>
      <c r="AA22" s="49" t="e">
        <f>+#REF!</f>
        <v>#REF!</v>
      </c>
      <c r="AB22" s="49" t="e">
        <f>+#REF!</f>
        <v>#REF!</v>
      </c>
      <c r="AC22" s="49" t="e">
        <f>+#REF!</f>
        <v>#REF!</v>
      </c>
      <c r="AD22" s="49" t="e">
        <f>+#REF!</f>
        <v>#REF!</v>
      </c>
      <c r="AE22" s="49" t="e">
        <f>+#REF!</f>
        <v>#REF!</v>
      </c>
      <c r="AF22" s="49" t="e">
        <f>+#REF!</f>
        <v>#REF!</v>
      </c>
      <c r="AG22" s="49" t="e">
        <f>+#REF!</f>
        <v>#REF!</v>
      </c>
      <c r="AH22" s="77" t="e">
        <f t="shared" si="0"/>
        <v>#REF!</v>
      </c>
      <c r="AR22" s="82" t="e">
        <f>+#REF!</f>
        <v>#REF!</v>
      </c>
      <c r="AS22" s="49" t="e">
        <f>+#REF!</f>
        <v>#REF!</v>
      </c>
      <c r="AT22" s="49" t="e">
        <f>+#REF!</f>
        <v>#REF!</v>
      </c>
      <c r="AU22" s="49" t="e">
        <f>+#REF!</f>
        <v>#REF!</v>
      </c>
      <c r="AV22" s="79" t="e">
        <f t="shared" si="1"/>
        <v>#REF!</v>
      </c>
    </row>
    <row r="23" spans="1:48" ht="16.399999999999999" thickBot="1" x14ac:dyDescent="0.35">
      <c r="A23" s="17"/>
      <c r="C23" s="84" t="s">
        <v>65</v>
      </c>
      <c r="D23" s="54" t="e">
        <f>SUM(D12:D22)</f>
        <v>#REF!</v>
      </c>
      <c r="E23" s="54" t="e">
        <f t="shared" ref="E23:AG23" si="6">SUM(E12:E22)</f>
        <v>#REF!</v>
      </c>
      <c r="F23" s="54" t="e">
        <f t="shared" si="6"/>
        <v>#REF!</v>
      </c>
      <c r="G23" s="54" t="e">
        <f t="shared" si="6"/>
        <v>#REF!</v>
      </c>
      <c r="H23" s="54" t="e">
        <f>SUM(H12:H22)</f>
        <v>#REF!</v>
      </c>
      <c r="I23" s="54" t="e">
        <f t="shared" si="6"/>
        <v>#REF!</v>
      </c>
      <c r="J23" s="54" t="e">
        <f t="shared" si="6"/>
        <v>#REF!</v>
      </c>
      <c r="K23" s="54" t="e">
        <f t="shared" si="6"/>
        <v>#REF!</v>
      </c>
      <c r="L23" s="54" t="e">
        <f t="shared" si="6"/>
        <v>#REF!</v>
      </c>
      <c r="M23" s="54" t="e">
        <f>SUM(M12:M22)</f>
        <v>#REF!</v>
      </c>
      <c r="N23" s="54" t="e">
        <f t="shared" si="6"/>
        <v>#REF!</v>
      </c>
      <c r="O23" s="54" t="e">
        <f t="shared" si="6"/>
        <v>#REF!</v>
      </c>
      <c r="P23" s="54" t="e">
        <f t="shared" si="6"/>
        <v>#REF!</v>
      </c>
      <c r="Q23" s="54" t="e">
        <f t="shared" si="6"/>
        <v>#REF!</v>
      </c>
      <c r="R23" s="54" t="e">
        <f t="shared" si="6"/>
        <v>#REF!</v>
      </c>
      <c r="S23" s="54" t="e">
        <f t="shared" si="6"/>
        <v>#REF!</v>
      </c>
      <c r="T23" s="54" t="e">
        <f t="shared" si="6"/>
        <v>#REF!</v>
      </c>
      <c r="U23" s="54" t="e">
        <f t="shared" si="6"/>
        <v>#REF!</v>
      </c>
      <c r="V23" s="54" t="e">
        <f t="shared" si="6"/>
        <v>#REF!</v>
      </c>
      <c r="W23" s="54" t="e">
        <f t="shared" si="6"/>
        <v>#REF!</v>
      </c>
      <c r="X23" s="54" t="e">
        <f t="shared" si="6"/>
        <v>#REF!</v>
      </c>
      <c r="Y23" s="54" t="e">
        <f t="shared" si="6"/>
        <v>#REF!</v>
      </c>
      <c r="Z23" s="54" t="e">
        <f t="shared" si="6"/>
        <v>#REF!</v>
      </c>
      <c r="AA23" s="54" t="e">
        <f t="shared" si="6"/>
        <v>#REF!</v>
      </c>
      <c r="AB23" s="54" t="e">
        <f t="shared" si="6"/>
        <v>#REF!</v>
      </c>
      <c r="AC23" s="54" t="e">
        <f t="shared" si="6"/>
        <v>#REF!</v>
      </c>
      <c r="AD23" s="54" t="e">
        <f t="shared" si="6"/>
        <v>#REF!</v>
      </c>
      <c r="AE23" s="54" t="e">
        <f t="shared" si="6"/>
        <v>#REF!</v>
      </c>
      <c r="AF23" s="54" t="e">
        <f t="shared" si="6"/>
        <v>#REF!</v>
      </c>
      <c r="AG23" s="54" t="e">
        <f t="shared" si="6"/>
        <v>#REF!</v>
      </c>
      <c r="AH23" s="77" t="e">
        <f>+W23+AB23+AG23</f>
        <v>#REF!</v>
      </c>
      <c r="AR23" s="54" t="e">
        <f t="shared" ref="AR23:AU23" si="7">SUM(AR12:AR22)</f>
        <v>#REF!</v>
      </c>
      <c r="AS23" s="54" t="e">
        <f t="shared" si="7"/>
        <v>#REF!</v>
      </c>
      <c r="AT23" s="54" t="e">
        <f t="shared" si="7"/>
        <v>#REF!</v>
      </c>
      <c r="AU23" s="54" t="e">
        <f t="shared" si="7"/>
        <v>#REF!</v>
      </c>
      <c r="AV23" s="79" t="e">
        <f>SUM(AR23:AU23)</f>
        <v>#REF!</v>
      </c>
    </row>
    <row r="24" spans="1:48" ht="15.75" x14ac:dyDescent="0.3">
      <c r="A24" s="17"/>
      <c r="B24" t="s">
        <v>151</v>
      </c>
      <c r="C24" s="23" t="s">
        <v>24</v>
      </c>
      <c r="D24" s="41" t="e">
        <f>+#REF!</f>
        <v>#REF!</v>
      </c>
      <c r="E24" s="42" t="e">
        <f>+#REF!</f>
        <v>#REF!</v>
      </c>
      <c r="F24" s="42" t="e">
        <f>+#REF!</f>
        <v>#REF!</v>
      </c>
      <c r="G24" s="42" t="e">
        <f>+#REF!</f>
        <v>#REF!</v>
      </c>
      <c r="H24" s="52" t="e">
        <f>+#REF!</f>
        <v>#REF!</v>
      </c>
      <c r="I24" s="52" t="e">
        <f>+#REF!</f>
        <v>#REF!</v>
      </c>
      <c r="J24" s="52" t="e">
        <f>+#REF!</f>
        <v>#REF!</v>
      </c>
      <c r="K24" s="52" t="e">
        <f>+#REF!</f>
        <v>#REF!</v>
      </c>
      <c r="L24" s="52" t="e">
        <f>+#REF!</f>
        <v>#REF!</v>
      </c>
      <c r="M24" s="52" t="e">
        <f>+#REF!</f>
        <v>#REF!</v>
      </c>
      <c r="N24" s="52" t="e">
        <f>+#REF!</f>
        <v>#REF!</v>
      </c>
      <c r="O24" s="52" t="e">
        <f>+#REF!</f>
        <v>#REF!</v>
      </c>
      <c r="P24" s="52" t="e">
        <f>+#REF!</f>
        <v>#REF!</v>
      </c>
      <c r="Q24" s="52" t="e">
        <f>+#REF!</f>
        <v>#REF!</v>
      </c>
      <c r="R24" s="52" t="e">
        <f>+#REF!</f>
        <v>#REF!</v>
      </c>
      <c r="S24" s="52" t="e">
        <f>+#REF!</f>
        <v>#REF!</v>
      </c>
      <c r="T24" s="52" t="e">
        <f>+#REF!</f>
        <v>#REF!</v>
      </c>
      <c r="U24" s="52" t="e">
        <f>+#REF!</f>
        <v>#REF!</v>
      </c>
      <c r="V24" s="52" t="e">
        <f>+#REF!</f>
        <v>#REF!</v>
      </c>
      <c r="W24" s="52" t="e">
        <f>+#REF!</f>
        <v>#REF!</v>
      </c>
      <c r="X24" s="52" t="e">
        <f>+#REF!</f>
        <v>#REF!</v>
      </c>
      <c r="Y24" s="52" t="e">
        <f>+#REF!</f>
        <v>#REF!</v>
      </c>
      <c r="Z24" s="52" t="e">
        <f>+#REF!</f>
        <v>#REF!</v>
      </c>
      <c r="AA24" s="52" t="e">
        <f>+#REF!</f>
        <v>#REF!</v>
      </c>
      <c r="AB24" s="52" t="e">
        <f>+#REF!</f>
        <v>#REF!</v>
      </c>
      <c r="AC24" s="52" t="e">
        <f>+#REF!</f>
        <v>#REF!</v>
      </c>
      <c r="AD24" s="52" t="e">
        <f>+#REF!</f>
        <v>#REF!</v>
      </c>
      <c r="AE24" s="52" t="e">
        <f>+#REF!</f>
        <v>#REF!</v>
      </c>
      <c r="AF24" s="52" t="e">
        <f>+#REF!</f>
        <v>#REF!</v>
      </c>
      <c r="AG24" s="52" t="e">
        <f>+#REF!</f>
        <v>#REF!</v>
      </c>
      <c r="AH24" s="77" t="e">
        <f t="shared" si="0"/>
        <v>#REF!</v>
      </c>
      <c r="AR24" s="80" t="e">
        <f>+#REF!</f>
        <v>#REF!</v>
      </c>
      <c r="AS24" s="48" t="e">
        <f>+#REF!</f>
        <v>#REF!</v>
      </c>
      <c r="AT24" s="48" t="e">
        <f>+#REF!</f>
        <v>#REF!</v>
      </c>
      <c r="AU24" s="48" t="e">
        <f>+#REF!</f>
        <v>#REF!</v>
      </c>
      <c r="AV24" s="79" t="e">
        <f t="shared" si="1"/>
        <v>#REF!</v>
      </c>
    </row>
    <row r="25" spans="1:48" ht="15.75" x14ac:dyDescent="0.3">
      <c r="A25" s="17"/>
      <c r="B25" t="s">
        <v>151</v>
      </c>
      <c r="C25" s="24" t="s">
        <v>15</v>
      </c>
      <c r="D25" s="35" t="e">
        <f>+#REF!</f>
        <v>#REF!</v>
      </c>
      <c r="E25" s="1" t="e">
        <f>+#REF!</f>
        <v>#REF!</v>
      </c>
      <c r="F25" s="1" t="e">
        <f>+#REF!</f>
        <v>#REF!</v>
      </c>
      <c r="G25" s="1" t="e">
        <f>+#REF!</f>
        <v>#REF!</v>
      </c>
      <c r="H25" s="2" t="e">
        <f>+#REF!</f>
        <v>#REF!</v>
      </c>
      <c r="I25" s="2" t="e">
        <f>+#REF!</f>
        <v>#REF!</v>
      </c>
      <c r="J25" s="2" t="e">
        <f>+#REF!</f>
        <v>#REF!</v>
      </c>
      <c r="K25" s="2" t="e">
        <f>+#REF!</f>
        <v>#REF!</v>
      </c>
      <c r="L25" s="2" t="e">
        <f>+#REF!</f>
        <v>#REF!</v>
      </c>
      <c r="M25" s="2" t="e">
        <f>+#REF!</f>
        <v>#REF!</v>
      </c>
      <c r="N25" s="2" t="e">
        <f>+#REF!</f>
        <v>#REF!</v>
      </c>
      <c r="O25" s="2" t="e">
        <f>+#REF!</f>
        <v>#REF!</v>
      </c>
      <c r="P25" s="2" t="e">
        <f>+#REF!</f>
        <v>#REF!</v>
      </c>
      <c r="Q25" s="2" t="e">
        <f>+#REF!</f>
        <v>#REF!</v>
      </c>
      <c r="R25" s="2" t="e">
        <f>+#REF!</f>
        <v>#REF!</v>
      </c>
      <c r="S25" s="2" t="e">
        <f>+#REF!</f>
        <v>#REF!</v>
      </c>
      <c r="T25" s="2" t="e">
        <f>+#REF!</f>
        <v>#REF!</v>
      </c>
      <c r="U25" s="2" t="e">
        <f>+#REF!</f>
        <v>#REF!</v>
      </c>
      <c r="V25" s="2" t="e">
        <f>+#REF!</f>
        <v>#REF!</v>
      </c>
      <c r="W25" s="2" t="e">
        <f>+#REF!</f>
        <v>#REF!</v>
      </c>
      <c r="X25" s="2" t="e">
        <f>+#REF!</f>
        <v>#REF!</v>
      </c>
      <c r="Y25" s="2" t="e">
        <f>+#REF!</f>
        <v>#REF!</v>
      </c>
      <c r="Z25" s="2" t="e">
        <f>+#REF!</f>
        <v>#REF!</v>
      </c>
      <c r="AA25" s="2" t="e">
        <f>+#REF!</f>
        <v>#REF!</v>
      </c>
      <c r="AB25" s="2" t="e">
        <f>+#REF!</f>
        <v>#REF!</v>
      </c>
      <c r="AC25" s="2" t="e">
        <f>+#REF!</f>
        <v>#REF!</v>
      </c>
      <c r="AD25" s="2" t="e">
        <f>+#REF!</f>
        <v>#REF!</v>
      </c>
      <c r="AE25" s="2" t="e">
        <f>+#REF!</f>
        <v>#REF!</v>
      </c>
      <c r="AF25" s="2" t="e">
        <f>+#REF!</f>
        <v>#REF!</v>
      </c>
      <c r="AG25" s="2" t="e">
        <f>+#REF!</f>
        <v>#REF!</v>
      </c>
      <c r="AH25" s="77" t="e">
        <f t="shared" si="0"/>
        <v>#REF!</v>
      </c>
      <c r="AR25" s="81" t="e">
        <f>+#REF!</f>
        <v>#REF!</v>
      </c>
      <c r="AS25" s="2" t="e">
        <f>+#REF!</f>
        <v>#REF!</v>
      </c>
      <c r="AT25" s="2" t="e">
        <f>+#REF!</f>
        <v>#REF!</v>
      </c>
      <c r="AU25" s="2" t="e">
        <f>+#REF!</f>
        <v>#REF!</v>
      </c>
      <c r="AV25" s="79" t="e">
        <f t="shared" si="1"/>
        <v>#REF!</v>
      </c>
    </row>
    <row r="26" spans="1:48" ht="15.75" x14ac:dyDescent="0.3">
      <c r="A26" s="17"/>
      <c r="B26" t="s">
        <v>151</v>
      </c>
      <c r="C26" s="24" t="s">
        <v>0</v>
      </c>
      <c r="D26" s="35" t="e">
        <f>+#REF!</f>
        <v>#REF!</v>
      </c>
      <c r="E26" s="1" t="e">
        <f>+#REF!</f>
        <v>#REF!</v>
      </c>
      <c r="F26" s="1" t="e">
        <f>+#REF!</f>
        <v>#REF!</v>
      </c>
      <c r="G26" s="1" t="e">
        <f>+#REF!</f>
        <v>#REF!</v>
      </c>
      <c r="H26" s="2" t="e">
        <f>+#REF!</f>
        <v>#REF!</v>
      </c>
      <c r="I26" s="2" t="e">
        <f>+#REF!</f>
        <v>#REF!</v>
      </c>
      <c r="J26" s="2" t="e">
        <f>+#REF!</f>
        <v>#REF!</v>
      </c>
      <c r="K26" s="2" t="e">
        <f>+#REF!</f>
        <v>#REF!</v>
      </c>
      <c r="L26" s="2" t="e">
        <f>+#REF!</f>
        <v>#REF!</v>
      </c>
      <c r="M26" s="2" t="e">
        <f>+#REF!</f>
        <v>#REF!</v>
      </c>
      <c r="N26" s="2" t="e">
        <f>+#REF!</f>
        <v>#REF!</v>
      </c>
      <c r="O26" s="2" t="e">
        <f>+#REF!</f>
        <v>#REF!</v>
      </c>
      <c r="P26" s="2" t="e">
        <f>+#REF!</f>
        <v>#REF!</v>
      </c>
      <c r="Q26" s="2" t="e">
        <f>+#REF!</f>
        <v>#REF!</v>
      </c>
      <c r="R26" s="2" t="e">
        <f>+#REF!</f>
        <v>#REF!</v>
      </c>
      <c r="S26" s="2" t="e">
        <f>+#REF!</f>
        <v>#REF!</v>
      </c>
      <c r="T26" s="2" t="e">
        <f>+#REF!</f>
        <v>#REF!</v>
      </c>
      <c r="U26" s="2" t="e">
        <f>+#REF!</f>
        <v>#REF!</v>
      </c>
      <c r="V26" s="2" t="e">
        <f>+#REF!</f>
        <v>#REF!</v>
      </c>
      <c r="W26" s="2" t="e">
        <f>+#REF!</f>
        <v>#REF!</v>
      </c>
      <c r="X26" s="2" t="e">
        <f>+#REF!</f>
        <v>#REF!</v>
      </c>
      <c r="Y26" s="2" t="e">
        <f>+#REF!</f>
        <v>#REF!</v>
      </c>
      <c r="Z26" s="2" t="e">
        <f>+#REF!</f>
        <v>#REF!</v>
      </c>
      <c r="AA26" s="2" t="e">
        <f>+#REF!</f>
        <v>#REF!</v>
      </c>
      <c r="AB26" s="2" t="e">
        <f>+#REF!</f>
        <v>#REF!</v>
      </c>
      <c r="AC26" s="2" t="e">
        <f>+#REF!</f>
        <v>#REF!</v>
      </c>
      <c r="AD26" s="2" t="e">
        <f>+#REF!</f>
        <v>#REF!</v>
      </c>
      <c r="AE26" s="2" t="e">
        <f>+#REF!</f>
        <v>#REF!</v>
      </c>
      <c r="AF26" s="2" t="e">
        <f>+#REF!</f>
        <v>#REF!</v>
      </c>
      <c r="AG26" s="2" t="e">
        <f>+#REF!</f>
        <v>#REF!</v>
      </c>
      <c r="AH26" s="77" t="e">
        <f t="shared" si="0"/>
        <v>#REF!</v>
      </c>
      <c r="AR26" s="81" t="e">
        <f>+#REF!</f>
        <v>#REF!</v>
      </c>
      <c r="AS26" s="2" t="e">
        <f>+#REF!</f>
        <v>#REF!</v>
      </c>
      <c r="AT26" s="2" t="e">
        <f>+#REF!</f>
        <v>#REF!</v>
      </c>
      <c r="AU26" s="2" t="e">
        <f>+#REF!</f>
        <v>#REF!</v>
      </c>
      <c r="AV26" s="79" t="e">
        <f t="shared" si="1"/>
        <v>#REF!</v>
      </c>
    </row>
    <row r="27" spans="1:48" ht="16.399999999999999" thickBot="1" x14ac:dyDescent="0.35">
      <c r="A27" s="17"/>
      <c r="B27" t="s">
        <v>151</v>
      </c>
      <c r="C27" s="25" t="s">
        <v>18</v>
      </c>
      <c r="D27" s="36" t="e">
        <f>+#REF!</f>
        <v>#REF!</v>
      </c>
      <c r="E27" s="37" t="e">
        <f>+#REF!</f>
        <v>#REF!</v>
      </c>
      <c r="F27" s="37" t="e">
        <f>+#REF!</f>
        <v>#REF!</v>
      </c>
      <c r="G27" s="37" t="e">
        <f>+#REF!</f>
        <v>#REF!</v>
      </c>
      <c r="H27" s="50" t="e">
        <f>+#REF!</f>
        <v>#REF!</v>
      </c>
      <c r="I27" s="50" t="e">
        <f>+#REF!</f>
        <v>#REF!</v>
      </c>
      <c r="J27" s="50" t="e">
        <f>+#REF!</f>
        <v>#REF!</v>
      </c>
      <c r="K27" s="50" t="e">
        <f>+#REF!</f>
        <v>#REF!</v>
      </c>
      <c r="L27" s="50" t="e">
        <f>+#REF!</f>
        <v>#REF!</v>
      </c>
      <c r="M27" s="50" t="e">
        <f>+#REF!</f>
        <v>#REF!</v>
      </c>
      <c r="N27" s="50" t="e">
        <f>+#REF!</f>
        <v>#REF!</v>
      </c>
      <c r="O27" s="50" t="e">
        <f>+#REF!</f>
        <v>#REF!</v>
      </c>
      <c r="P27" s="50" t="e">
        <f>+#REF!</f>
        <v>#REF!</v>
      </c>
      <c r="Q27" s="50" t="e">
        <f>+#REF!</f>
        <v>#REF!</v>
      </c>
      <c r="R27" s="50" t="e">
        <f>+#REF!</f>
        <v>#REF!</v>
      </c>
      <c r="S27" s="50" t="e">
        <f>+#REF!</f>
        <v>#REF!</v>
      </c>
      <c r="T27" s="50" t="e">
        <f>+#REF!</f>
        <v>#REF!</v>
      </c>
      <c r="U27" s="50" t="e">
        <f>+#REF!</f>
        <v>#REF!</v>
      </c>
      <c r="V27" s="50" t="e">
        <f>+#REF!</f>
        <v>#REF!</v>
      </c>
      <c r="W27" s="50" t="e">
        <f>+#REF!</f>
        <v>#REF!</v>
      </c>
      <c r="X27" s="50" t="e">
        <f>+#REF!</f>
        <v>#REF!</v>
      </c>
      <c r="Y27" s="50" t="e">
        <f>+#REF!</f>
        <v>#REF!</v>
      </c>
      <c r="Z27" s="50" t="e">
        <f>+#REF!</f>
        <v>#REF!</v>
      </c>
      <c r="AA27" s="50" t="e">
        <f>+#REF!</f>
        <v>#REF!</v>
      </c>
      <c r="AB27" s="50" t="e">
        <f>+#REF!</f>
        <v>#REF!</v>
      </c>
      <c r="AC27" s="50" t="e">
        <f>+#REF!</f>
        <v>#REF!</v>
      </c>
      <c r="AD27" s="50" t="e">
        <f>+#REF!</f>
        <v>#REF!</v>
      </c>
      <c r="AE27" s="50" t="e">
        <f>+#REF!</f>
        <v>#REF!</v>
      </c>
      <c r="AF27" s="50" t="e">
        <f>+#REF!</f>
        <v>#REF!</v>
      </c>
      <c r="AG27" s="50" t="e">
        <f>+#REF!</f>
        <v>#REF!</v>
      </c>
      <c r="AH27" s="77" t="e">
        <f t="shared" si="0"/>
        <v>#REF!</v>
      </c>
      <c r="AR27" s="83" t="e">
        <f>+#REF!</f>
        <v>#REF!</v>
      </c>
      <c r="AS27" s="50" t="e">
        <f>+#REF!</f>
        <v>#REF!</v>
      </c>
      <c r="AT27" s="50" t="e">
        <f>+#REF!</f>
        <v>#REF!</v>
      </c>
      <c r="AU27" s="50" t="e">
        <f>+#REF!</f>
        <v>#REF!</v>
      </c>
      <c r="AV27" s="79" t="e">
        <f t="shared" si="1"/>
        <v>#REF!</v>
      </c>
    </row>
    <row r="28" spans="1:48" ht="15.75" x14ac:dyDescent="0.3">
      <c r="A28" s="17"/>
      <c r="B28" t="s">
        <v>38</v>
      </c>
      <c r="C28" s="23" t="s">
        <v>38</v>
      </c>
      <c r="D28" s="33" t="e">
        <f>+#REF!</f>
        <v>#REF!</v>
      </c>
      <c r="E28" s="34" t="e">
        <f>+#REF!</f>
        <v>#REF!</v>
      </c>
      <c r="F28" s="34" t="e">
        <f>+#REF!</f>
        <v>#REF!</v>
      </c>
      <c r="G28" s="34" t="e">
        <f>+#REF!</f>
        <v>#REF!</v>
      </c>
      <c r="H28" s="48" t="e">
        <f>+#REF!</f>
        <v>#REF!</v>
      </c>
      <c r="I28" s="48" t="e">
        <f>+#REF!</f>
        <v>#REF!</v>
      </c>
      <c r="J28" s="48" t="e">
        <f>+#REF!</f>
        <v>#REF!</v>
      </c>
      <c r="K28" s="48" t="e">
        <f>+#REF!</f>
        <v>#REF!</v>
      </c>
      <c r="L28" s="48" t="e">
        <f>+#REF!</f>
        <v>#REF!</v>
      </c>
      <c r="M28" s="48" t="e">
        <f>+#REF!</f>
        <v>#REF!</v>
      </c>
      <c r="N28" s="48" t="e">
        <f>+#REF!</f>
        <v>#REF!</v>
      </c>
      <c r="O28" s="48" t="e">
        <f>+#REF!</f>
        <v>#REF!</v>
      </c>
      <c r="P28" s="48" t="e">
        <f>+#REF!</f>
        <v>#REF!</v>
      </c>
      <c r="Q28" s="48" t="e">
        <f>+#REF!</f>
        <v>#REF!</v>
      </c>
      <c r="R28" s="48" t="e">
        <f>+#REF!</f>
        <v>#REF!</v>
      </c>
      <c r="S28" s="48" t="e">
        <f>+#REF!</f>
        <v>#REF!</v>
      </c>
      <c r="T28" s="48" t="e">
        <f>+#REF!</f>
        <v>#REF!</v>
      </c>
      <c r="U28" s="48" t="e">
        <f>+#REF!</f>
        <v>#REF!</v>
      </c>
      <c r="V28" s="48" t="e">
        <f>+#REF!</f>
        <v>#REF!</v>
      </c>
      <c r="W28" s="48" t="e">
        <f>+#REF!</f>
        <v>#REF!</v>
      </c>
      <c r="X28" s="48" t="e">
        <f>+#REF!</f>
        <v>#REF!</v>
      </c>
      <c r="Y28" s="48" t="e">
        <f>+#REF!</f>
        <v>#REF!</v>
      </c>
      <c r="Z28" s="48" t="e">
        <f>+#REF!</f>
        <v>#REF!</v>
      </c>
      <c r="AA28" s="48" t="e">
        <f>+#REF!</f>
        <v>#REF!</v>
      </c>
      <c r="AB28" s="48" t="e">
        <f>+#REF!</f>
        <v>#REF!</v>
      </c>
      <c r="AC28" s="48" t="e">
        <f>+#REF!</f>
        <v>#REF!</v>
      </c>
      <c r="AD28" s="48" t="e">
        <f>+#REF!</f>
        <v>#REF!</v>
      </c>
      <c r="AE28" s="48" t="e">
        <f>+#REF!</f>
        <v>#REF!</v>
      </c>
      <c r="AF28" s="48" t="e">
        <f>+#REF!</f>
        <v>#REF!</v>
      </c>
      <c r="AG28" s="48" t="e">
        <f>+#REF!</f>
        <v>#REF!</v>
      </c>
      <c r="AH28" s="77" t="e">
        <f t="shared" si="0"/>
        <v>#REF!</v>
      </c>
      <c r="AR28" s="33" t="e">
        <f>+#REF!</f>
        <v>#REF!</v>
      </c>
      <c r="AS28" s="34" t="e">
        <f>+#REF!</f>
        <v>#REF!</v>
      </c>
      <c r="AT28" s="34" t="e">
        <f>+#REF!</f>
        <v>#REF!</v>
      </c>
      <c r="AU28" s="34" t="e">
        <f>+#REF!</f>
        <v>#REF!</v>
      </c>
      <c r="AV28" s="79" t="e">
        <f t="shared" si="1"/>
        <v>#REF!</v>
      </c>
    </row>
    <row r="29" spans="1:48" ht="15.75" x14ac:dyDescent="0.3">
      <c r="A29" s="17"/>
      <c r="B29" t="s">
        <v>38</v>
      </c>
      <c r="C29" s="24" t="s">
        <v>41</v>
      </c>
      <c r="D29" s="35" t="e">
        <f>+#REF!</f>
        <v>#REF!</v>
      </c>
      <c r="E29" s="1" t="e">
        <f>+#REF!</f>
        <v>#REF!</v>
      </c>
      <c r="F29" s="1" t="e">
        <f>+#REF!</f>
        <v>#REF!</v>
      </c>
      <c r="G29" s="1" t="e">
        <f>+#REF!</f>
        <v>#REF!</v>
      </c>
      <c r="H29" s="2" t="e">
        <f>+#REF!</f>
        <v>#REF!</v>
      </c>
      <c r="I29" s="2" t="e">
        <f>+#REF!</f>
        <v>#REF!</v>
      </c>
      <c r="J29" s="2" t="e">
        <f>+#REF!</f>
        <v>#REF!</v>
      </c>
      <c r="K29" s="2" t="e">
        <f>+#REF!</f>
        <v>#REF!</v>
      </c>
      <c r="L29" s="2" t="e">
        <f>+#REF!</f>
        <v>#REF!</v>
      </c>
      <c r="M29" s="2" t="e">
        <f>+#REF!</f>
        <v>#REF!</v>
      </c>
      <c r="N29" s="2" t="e">
        <f>+#REF!</f>
        <v>#REF!</v>
      </c>
      <c r="O29" s="2" t="e">
        <f>+#REF!</f>
        <v>#REF!</v>
      </c>
      <c r="P29" s="2" t="e">
        <f>+#REF!</f>
        <v>#REF!</v>
      </c>
      <c r="Q29" s="2" t="e">
        <f>+#REF!</f>
        <v>#REF!</v>
      </c>
      <c r="R29" s="2" t="e">
        <f>+#REF!</f>
        <v>#REF!</v>
      </c>
      <c r="S29" s="2" t="e">
        <f>+#REF!</f>
        <v>#REF!</v>
      </c>
      <c r="T29" s="2" t="e">
        <f>+#REF!</f>
        <v>#REF!</v>
      </c>
      <c r="U29" s="2" t="e">
        <f>+#REF!</f>
        <v>#REF!</v>
      </c>
      <c r="V29" s="2" t="e">
        <f>+#REF!</f>
        <v>#REF!</v>
      </c>
      <c r="W29" s="2" t="e">
        <f>+#REF!</f>
        <v>#REF!</v>
      </c>
      <c r="X29" s="2" t="e">
        <f>+#REF!</f>
        <v>#REF!</v>
      </c>
      <c r="Y29" s="2" t="e">
        <f>+#REF!</f>
        <v>#REF!</v>
      </c>
      <c r="Z29" s="2" t="e">
        <f>+#REF!</f>
        <v>#REF!</v>
      </c>
      <c r="AA29" s="2" t="e">
        <f>+#REF!</f>
        <v>#REF!</v>
      </c>
      <c r="AB29" s="2" t="e">
        <f>+#REF!</f>
        <v>#REF!</v>
      </c>
      <c r="AC29" s="2" t="e">
        <f>+#REF!</f>
        <v>#REF!</v>
      </c>
      <c r="AD29" s="2" t="e">
        <f>+#REF!</f>
        <v>#REF!</v>
      </c>
      <c r="AE29" s="2" t="e">
        <f>+#REF!</f>
        <v>#REF!</v>
      </c>
      <c r="AF29" s="2" t="e">
        <f>+#REF!</f>
        <v>#REF!</v>
      </c>
      <c r="AG29" s="2" t="e">
        <f>+#REF!</f>
        <v>#REF!</v>
      </c>
      <c r="AH29" s="77" t="e">
        <f t="shared" si="0"/>
        <v>#REF!</v>
      </c>
      <c r="AR29" s="35" t="e">
        <f>+#REF!</f>
        <v>#REF!</v>
      </c>
      <c r="AS29" s="1" t="e">
        <f>+#REF!</f>
        <v>#REF!</v>
      </c>
      <c r="AT29" s="1" t="e">
        <f>+#REF!</f>
        <v>#REF!</v>
      </c>
      <c r="AU29" s="1" t="e">
        <f>+#REF!</f>
        <v>#REF!</v>
      </c>
      <c r="AV29" s="79" t="e">
        <f t="shared" si="1"/>
        <v>#REF!</v>
      </c>
    </row>
    <row r="30" spans="1:48" ht="15.75" x14ac:dyDescent="0.3">
      <c r="A30" s="17"/>
      <c r="B30" t="s">
        <v>43</v>
      </c>
      <c r="C30" s="24" t="s">
        <v>43</v>
      </c>
      <c r="D30" s="35" t="e">
        <f>+#REF!</f>
        <v>#REF!</v>
      </c>
      <c r="E30" s="1" t="e">
        <f>+#REF!</f>
        <v>#REF!</v>
      </c>
      <c r="F30" s="1" t="e">
        <f>+#REF!</f>
        <v>#REF!</v>
      </c>
      <c r="G30" s="1" t="e">
        <f>+#REF!</f>
        <v>#REF!</v>
      </c>
      <c r="H30" s="2" t="e">
        <f>+#REF!</f>
        <v>#REF!</v>
      </c>
      <c r="I30" s="2" t="e">
        <f>+#REF!</f>
        <v>#REF!</v>
      </c>
      <c r="J30" s="2" t="e">
        <f>+#REF!</f>
        <v>#REF!</v>
      </c>
      <c r="K30" s="2" t="e">
        <f>+#REF!</f>
        <v>#REF!</v>
      </c>
      <c r="L30" s="2" t="e">
        <f>+#REF!</f>
        <v>#REF!</v>
      </c>
      <c r="M30" s="2" t="e">
        <f>+#REF!</f>
        <v>#REF!</v>
      </c>
      <c r="N30" s="2" t="e">
        <f>+#REF!</f>
        <v>#REF!</v>
      </c>
      <c r="O30" s="2" t="e">
        <f>+#REF!</f>
        <v>#REF!</v>
      </c>
      <c r="P30" s="2" t="e">
        <f>+#REF!</f>
        <v>#REF!</v>
      </c>
      <c r="Q30" s="2" t="e">
        <f>+#REF!</f>
        <v>#REF!</v>
      </c>
      <c r="R30" s="2" t="e">
        <f>+#REF!</f>
        <v>#REF!</v>
      </c>
      <c r="S30" s="2" t="e">
        <f>+#REF!</f>
        <v>#REF!</v>
      </c>
      <c r="T30" s="2" t="e">
        <f>+#REF!</f>
        <v>#REF!</v>
      </c>
      <c r="U30" s="2" t="e">
        <f>+#REF!</f>
        <v>#REF!</v>
      </c>
      <c r="V30" s="2" t="e">
        <f>+#REF!</f>
        <v>#REF!</v>
      </c>
      <c r="W30" s="2" t="e">
        <f>+#REF!</f>
        <v>#REF!</v>
      </c>
      <c r="X30" s="2" t="e">
        <f>+#REF!</f>
        <v>#REF!</v>
      </c>
      <c r="Y30" s="2" t="e">
        <f>+#REF!</f>
        <v>#REF!</v>
      </c>
      <c r="Z30" s="2" t="e">
        <f>+#REF!</f>
        <v>#REF!</v>
      </c>
      <c r="AA30" s="2" t="e">
        <f>+#REF!</f>
        <v>#REF!</v>
      </c>
      <c r="AB30" s="2" t="e">
        <f>+#REF!</f>
        <v>#REF!</v>
      </c>
      <c r="AC30" s="2" t="e">
        <f>+#REF!</f>
        <v>#REF!</v>
      </c>
      <c r="AD30" s="2" t="e">
        <f>+#REF!</f>
        <v>#REF!</v>
      </c>
      <c r="AE30" s="2" t="e">
        <f>+#REF!</f>
        <v>#REF!</v>
      </c>
      <c r="AF30" s="2" t="e">
        <f>+#REF!</f>
        <v>#REF!</v>
      </c>
      <c r="AG30" s="2" t="e">
        <f>+#REF!</f>
        <v>#REF!</v>
      </c>
      <c r="AH30" s="77" t="e">
        <f t="shared" si="0"/>
        <v>#REF!</v>
      </c>
      <c r="AR30" s="35" t="e">
        <f>+#REF!</f>
        <v>#REF!</v>
      </c>
      <c r="AS30" s="1" t="e">
        <f>+#REF!</f>
        <v>#REF!</v>
      </c>
      <c r="AT30" s="1" t="e">
        <f>+#REF!</f>
        <v>#REF!</v>
      </c>
      <c r="AU30" s="1" t="e">
        <f>+#REF!</f>
        <v>#REF!</v>
      </c>
      <c r="AV30" s="79" t="e">
        <f t="shared" si="1"/>
        <v>#REF!</v>
      </c>
    </row>
    <row r="31" spans="1:48" ht="16.399999999999999" thickBot="1" x14ac:dyDescent="0.35">
      <c r="A31" s="17"/>
      <c r="B31" t="s">
        <v>45</v>
      </c>
      <c r="C31" s="25" t="s">
        <v>45</v>
      </c>
      <c r="D31" s="39" t="e">
        <f>+#REF!</f>
        <v>#REF!</v>
      </c>
      <c r="E31" s="40" t="e">
        <f>+#REF!</f>
        <v>#REF!</v>
      </c>
      <c r="F31" s="40" t="e">
        <f>+#REF!</f>
        <v>#REF!</v>
      </c>
      <c r="G31" s="40" t="e">
        <f>+#REF!</f>
        <v>#REF!</v>
      </c>
      <c r="H31" s="49" t="e">
        <f>+#REF!</f>
        <v>#REF!</v>
      </c>
      <c r="I31" s="49" t="e">
        <f>+#REF!</f>
        <v>#REF!</v>
      </c>
      <c r="J31" s="49" t="e">
        <f>+#REF!</f>
        <v>#REF!</v>
      </c>
      <c r="K31" s="49" t="e">
        <f>+#REF!</f>
        <v>#REF!</v>
      </c>
      <c r="L31" s="49" t="e">
        <f>+#REF!</f>
        <v>#REF!</v>
      </c>
      <c r="M31" s="49" t="e">
        <f>+#REF!</f>
        <v>#REF!</v>
      </c>
      <c r="N31" s="49" t="e">
        <f>+#REF!</f>
        <v>#REF!</v>
      </c>
      <c r="O31" s="49" t="e">
        <f>+#REF!</f>
        <v>#REF!</v>
      </c>
      <c r="P31" s="49" t="e">
        <f>+#REF!</f>
        <v>#REF!</v>
      </c>
      <c r="Q31" s="49" t="e">
        <f>+#REF!</f>
        <v>#REF!</v>
      </c>
      <c r="R31" s="49" t="e">
        <f>+#REF!</f>
        <v>#REF!</v>
      </c>
      <c r="S31" s="49" t="e">
        <f>+#REF!</f>
        <v>#REF!</v>
      </c>
      <c r="T31" s="49" t="e">
        <f>+#REF!</f>
        <v>#REF!</v>
      </c>
      <c r="U31" s="49" t="e">
        <f>+#REF!</f>
        <v>#REF!</v>
      </c>
      <c r="V31" s="49" t="e">
        <f>+#REF!</f>
        <v>#REF!</v>
      </c>
      <c r="W31" s="49" t="e">
        <f>+#REF!</f>
        <v>#REF!</v>
      </c>
      <c r="X31" s="49" t="e">
        <f>+#REF!</f>
        <v>#REF!</v>
      </c>
      <c r="Y31" s="49" t="e">
        <f>+#REF!</f>
        <v>#REF!</v>
      </c>
      <c r="Z31" s="49" t="e">
        <f>+#REF!</f>
        <v>#REF!</v>
      </c>
      <c r="AA31" s="49" t="e">
        <f>+#REF!</f>
        <v>#REF!</v>
      </c>
      <c r="AB31" s="49" t="e">
        <f>+#REF!</f>
        <v>#REF!</v>
      </c>
      <c r="AC31" s="49" t="e">
        <f>+#REF!</f>
        <v>#REF!</v>
      </c>
      <c r="AD31" s="49" t="e">
        <f>+#REF!</f>
        <v>#REF!</v>
      </c>
      <c r="AE31" s="49" t="e">
        <f>+#REF!</f>
        <v>#REF!</v>
      </c>
      <c r="AF31" s="49" t="e">
        <f>+#REF!</f>
        <v>#REF!</v>
      </c>
      <c r="AG31" s="49" t="e">
        <f>+#REF!</f>
        <v>#REF!</v>
      </c>
      <c r="AH31" s="77" t="e">
        <f t="shared" si="0"/>
        <v>#REF!</v>
      </c>
      <c r="AR31" s="36" t="e">
        <f>+#REF!</f>
        <v>#REF!</v>
      </c>
      <c r="AS31" s="37" t="e">
        <f>+#REF!</f>
        <v>#REF!</v>
      </c>
      <c r="AT31" s="37" t="e">
        <f>+#REF!</f>
        <v>#REF!</v>
      </c>
      <c r="AU31" s="37" t="e">
        <f>+#REF!</f>
        <v>#REF!</v>
      </c>
      <c r="AV31" s="79" t="e">
        <f t="shared" si="1"/>
        <v>#REF!</v>
      </c>
    </row>
    <row r="32" spans="1:48" ht="15.75" x14ac:dyDescent="0.3">
      <c r="A32" s="17"/>
      <c r="C32" s="85" t="s">
        <v>83</v>
      </c>
      <c r="D32" s="54" t="e">
        <f>SUM(D24:D31)</f>
        <v>#REF!</v>
      </c>
      <c r="E32" s="54" t="e">
        <f t="shared" ref="E32:AG32" si="8">SUM(E24:E31)</f>
        <v>#REF!</v>
      </c>
      <c r="F32" s="54" t="e">
        <f t="shared" si="8"/>
        <v>#REF!</v>
      </c>
      <c r="G32" s="54" t="e">
        <f t="shared" si="8"/>
        <v>#REF!</v>
      </c>
      <c r="H32" s="54" t="e">
        <f>SUM(H24:H31)</f>
        <v>#REF!</v>
      </c>
      <c r="I32" s="54" t="e">
        <f t="shared" si="8"/>
        <v>#REF!</v>
      </c>
      <c r="J32" s="54" t="e">
        <f t="shared" si="8"/>
        <v>#REF!</v>
      </c>
      <c r="K32" s="54" t="e">
        <f t="shared" si="8"/>
        <v>#REF!</v>
      </c>
      <c r="L32" s="54" t="e">
        <f t="shared" si="8"/>
        <v>#REF!</v>
      </c>
      <c r="M32" s="54" t="e">
        <f t="shared" si="8"/>
        <v>#REF!</v>
      </c>
      <c r="N32" s="54" t="e">
        <f t="shared" si="8"/>
        <v>#REF!</v>
      </c>
      <c r="O32" s="54" t="e">
        <f t="shared" si="8"/>
        <v>#REF!</v>
      </c>
      <c r="P32" s="54" t="e">
        <f t="shared" si="8"/>
        <v>#REF!</v>
      </c>
      <c r="Q32" s="54" t="e">
        <f t="shared" si="8"/>
        <v>#REF!</v>
      </c>
      <c r="R32" s="54" t="e">
        <f t="shared" si="8"/>
        <v>#REF!</v>
      </c>
      <c r="S32" s="54" t="e">
        <f t="shared" si="8"/>
        <v>#REF!</v>
      </c>
      <c r="T32" s="54" t="e">
        <f t="shared" si="8"/>
        <v>#REF!</v>
      </c>
      <c r="U32" s="54" t="e">
        <f t="shared" si="8"/>
        <v>#REF!</v>
      </c>
      <c r="V32" s="54" t="e">
        <f t="shared" si="8"/>
        <v>#REF!</v>
      </c>
      <c r="W32" s="54" t="e">
        <f t="shared" si="8"/>
        <v>#REF!</v>
      </c>
      <c r="X32" s="54" t="e">
        <f t="shared" si="8"/>
        <v>#REF!</v>
      </c>
      <c r="Y32" s="54" t="e">
        <f t="shared" si="8"/>
        <v>#REF!</v>
      </c>
      <c r="Z32" s="54" t="e">
        <f t="shared" si="8"/>
        <v>#REF!</v>
      </c>
      <c r="AA32" s="54" t="e">
        <f t="shared" si="8"/>
        <v>#REF!</v>
      </c>
      <c r="AB32" s="54" t="e">
        <f t="shared" si="8"/>
        <v>#REF!</v>
      </c>
      <c r="AC32" s="54" t="e">
        <f t="shared" si="8"/>
        <v>#REF!</v>
      </c>
      <c r="AD32" s="54" t="e">
        <f t="shared" si="8"/>
        <v>#REF!</v>
      </c>
      <c r="AE32" s="54" t="e">
        <f t="shared" si="8"/>
        <v>#REF!</v>
      </c>
      <c r="AF32" s="54" t="e">
        <f t="shared" si="8"/>
        <v>#REF!</v>
      </c>
      <c r="AG32" s="54" t="e">
        <f t="shared" si="8"/>
        <v>#REF!</v>
      </c>
      <c r="AH32" s="77" t="e">
        <f t="shared" si="0"/>
        <v>#REF!</v>
      </c>
      <c r="AR32" s="54" t="e">
        <f t="shared" ref="AR32:AU32" si="9">SUM(AR24:AR31)</f>
        <v>#REF!</v>
      </c>
      <c r="AS32" s="54" t="e">
        <f t="shared" si="9"/>
        <v>#REF!</v>
      </c>
      <c r="AT32" s="54" t="e">
        <f t="shared" si="9"/>
        <v>#REF!</v>
      </c>
      <c r="AU32" s="54" t="e">
        <f t="shared" si="9"/>
        <v>#REF!</v>
      </c>
      <c r="AV32" s="79" t="e">
        <f t="shared" si="1"/>
        <v>#REF!</v>
      </c>
    </row>
    <row r="33" spans="1:48" ht="15.75" x14ac:dyDescent="0.3">
      <c r="A33" s="17"/>
      <c r="B33" t="s">
        <v>32</v>
      </c>
      <c r="C33" s="26" t="s">
        <v>32</v>
      </c>
      <c r="D33" s="41" t="e">
        <f>+#REF!</f>
        <v>#REF!</v>
      </c>
      <c r="E33" s="42" t="e">
        <f>+#REF!</f>
        <v>#REF!</v>
      </c>
      <c r="F33" s="42" t="e">
        <f>+#REF!</f>
        <v>#REF!</v>
      </c>
      <c r="G33" s="42" t="e">
        <f>+#REF!</f>
        <v>#REF!</v>
      </c>
      <c r="H33" s="52" t="e">
        <f>+#REF!</f>
        <v>#REF!</v>
      </c>
      <c r="I33" s="52" t="e">
        <f>+#REF!</f>
        <v>#REF!</v>
      </c>
      <c r="J33" s="52" t="e">
        <f>+#REF!</f>
        <v>#REF!</v>
      </c>
      <c r="K33" s="52" t="e">
        <f>+#REF!</f>
        <v>#REF!</v>
      </c>
      <c r="L33" s="52" t="e">
        <f>+#REF!</f>
        <v>#REF!</v>
      </c>
      <c r="M33" s="52" t="e">
        <f>+#REF!</f>
        <v>#REF!</v>
      </c>
      <c r="N33" s="52" t="e">
        <f>+#REF!</f>
        <v>#REF!</v>
      </c>
      <c r="O33" s="52" t="e">
        <f>+#REF!</f>
        <v>#REF!</v>
      </c>
      <c r="P33" s="52" t="e">
        <f>+#REF!</f>
        <v>#REF!</v>
      </c>
      <c r="Q33" s="52" t="e">
        <f>+#REF!</f>
        <v>#REF!</v>
      </c>
      <c r="R33" s="52" t="e">
        <f>+#REF!</f>
        <v>#REF!</v>
      </c>
      <c r="S33" s="52" t="e">
        <f>+#REF!</f>
        <v>#REF!</v>
      </c>
      <c r="T33" s="52" t="e">
        <f>+#REF!</f>
        <v>#REF!</v>
      </c>
      <c r="U33" s="52" t="e">
        <f>+#REF!</f>
        <v>#REF!</v>
      </c>
      <c r="V33" s="52" t="e">
        <f>+#REF!</f>
        <v>#REF!</v>
      </c>
      <c r="W33" s="52" t="e">
        <f>+#REF!</f>
        <v>#REF!</v>
      </c>
      <c r="X33" s="52" t="e">
        <f>+#REF!</f>
        <v>#REF!</v>
      </c>
      <c r="Y33" s="52" t="e">
        <f>+#REF!</f>
        <v>#REF!</v>
      </c>
      <c r="Z33" s="52" t="e">
        <f>+#REF!</f>
        <v>#REF!</v>
      </c>
      <c r="AA33" s="52" t="e">
        <f>+#REF!</f>
        <v>#REF!</v>
      </c>
      <c r="AB33" s="52" t="e">
        <f>+#REF!</f>
        <v>#REF!</v>
      </c>
      <c r="AC33" s="52" t="e">
        <f>+#REF!</f>
        <v>#REF!</v>
      </c>
      <c r="AD33" s="52" t="e">
        <f>+#REF!</f>
        <v>#REF!</v>
      </c>
      <c r="AE33" s="52" t="e">
        <f>+#REF!</f>
        <v>#REF!</v>
      </c>
      <c r="AF33" s="52" t="e">
        <f>+#REF!</f>
        <v>#REF!</v>
      </c>
      <c r="AG33" s="52" t="e">
        <f>+#REF!</f>
        <v>#REF!</v>
      </c>
      <c r="AH33" s="77" t="e">
        <f t="shared" si="0"/>
        <v>#REF!</v>
      </c>
      <c r="AR33" s="41" t="e">
        <f>+#REF!</f>
        <v>#REF!</v>
      </c>
      <c r="AS33" s="42" t="e">
        <f>+#REF!</f>
        <v>#REF!</v>
      </c>
      <c r="AT33" s="42" t="e">
        <f>+#REF!</f>
        <v>#REF!</v>
      </c>
      <c r="AU33" s="42" t="e">
        <f>+#REF!</f>
        <v>#REF!</v>
      </c>
      <c r="AV33" s="79" t="e">
        <f t="shared" si="1"/>
        <v>#REF!</v>
      </c>
    </row>
    <row r="34" spans="1:48" ht="15.75" x14ac:dyDescent="0.3">
      <c r="A34" s="17"/>
      <c r="B34" t="s">
        <v>33</v>
      </c>
      <c r="C34" s="24" t="s">
        <v>33</v>
      </c>
      <c r="D34" s="35" t="e">
        <f>+#REF!</f>
        <v>#REF!</v>
      </c>
      <c r="E34" s="1" t="e">
        <f>+#REF!</f>
        <v>#REF!</v>
      </c>
      <c r="F34" s="1" t="e">
        <f>+#REF!</f>
        <v>#REF!</v>
      </c>
      <c r="G34" s="1" t="e">
        <f>+#REF!</f>
        <v>#REF!</v>
      </c>
      <c r="H34" s="2" t="e">
        <f>+#REF!</f>
        <v>#REF!</v>
      </c>
      <c r="I34" s="2" t="e">
        <f>+#REF!</f>
        <v>#REF!</v>
      </c>
      <c r="J34" s="2" t="e">
        <f>+#REF!</f>
        <v>#REF!</v>
      </c>
      <c r="K34" s="2" t="e">
        <f>+#REF!</f>
        <v>#REF!</v>
      </c>
      <c r="L34" s="2" t="e">
        <f>+#REF!</f>
        <v>#REF!</v>
      </c>
      <c r="M34" s="2" t="e">
        <f>+#REF!</f>
        <v>#REF!</v>
      </c>
      <c r="N34" s="2" t="e">
        <f>+#REF!</f>
        <v>#REF!</v>
      </c>
      <c r="O34" s="2" t="e">
        <f>+#REF!</f>
        <v>#REF!</v>
      </c>
      <c r="P34" s="2" t="e">
        <f>+#REF!</f>
        <v>#REF!</v>
      </c>
      <c r="Q34" s="2" t="e">
        <f>+#REF!</f>
        <v>#REF!</v>
      </c>
      <c r="R34" s="2" t="e">
        <f>+#REF!</f>
        <v>#REF!</v>
      </c>
      <c r="S34" s="2" t="e">
        <f>+#REF!</f>
        <v>#REF!</v>
      </c>
      <c r="T34" s="2" t="e">
        <f>+#REF!</f>
        <v>#REF!</v>
      </c>
      <c r="U34" s="2" t="e">
        <f>+#REF!</f>
        <v>#REF!</v>
      </c>
      <c r="V34" s="2" t="e">
        <f>+#REF!</f>
        <v>#REF!</v>
      </c>
      <c r="W34" s="2" t="e">
        <f>+#REF!</f>
        <v>#REF!</v>
      </c>
      <c r="X34" s="2" t="e">
        <f>+#REF!</f>
        <v>#REF!</v>
      </c>
      <c r="Y34" s="2" t="e">
        <f>+#REF!</f>
        <v>#REF!</v>
      </c>
      <c r="Z34" s="2" t="e">
        <f>+#REF!</f>
        <v>#REF!</v>
      </c>
      <c r="AA34" s="2" t="e">
        <f>+#REF!</f>
        <v>#REF!</v>
      </c>
      <c r="AB34" s="2" t="e">
        <f>+#REF!</f>
        <v>#REF!</v>
      </c>
      <c r="AC34" s="2" t="e">
        <f>+#REF!</f>
        <v>#REF!</v>
      </c>
      <c r="AD34" s="2" t="e">
        <f>+#REF!</f>
        <v>#REF!</v>
      </c>
      <c r="AE34" s="2" t="e">
        <f>+#REF!</f>
        <v>#REF!</v>
      </c>
      <c r="AF34" s="2" t="e">
        <f>+#REF!</f>
        <v>#REF!</v>
      </c>
      <c r="AG34" s="2" t="e">
        <f>+#REF!</f>
        <v>#REF!</v>
      </c>
      <c r="AH34" s="77" t="e">
        <f t="shared" si="0"/>
        <v>#REF!</v>
      </c>
      <c r="AR34" s="35" t="e">
        <f>+#REF!</f>
        <v>#REF!</v>
      </c>
      <c r="AS34" s="1" t="e">
        <f>+#REF!</f>
        <v>#REF!</v>
      </c>
      <c r="AT34" s="1" t="e">
        <f>+#REF!</f>
        <v>#REF!</v>
      </c>
      <c r="AU34" s="1" t="e">
        <f>+#REF!</f>
        <v>#REF!</v>
      </c>
      <c r="AV34" s="79" t="e">
        <f t="shared" si="1"/>
        <v>#REF!</v>
      </c>
    </row>
    <row r="35" spans="1:48" ht="15.75" x14ac:dyDescent="0.3">
      <c r="A35" s="17"/>
      <c r="B35" t="s">
        <v>32</v>
      </c>
      <c r="C35" s="24" t="s">
        <v>34</v>
      </c>
      <c r="D35" s="35" t="e">
        <f>+#REF!</f>
        <v>#REF!</v>
      </c>
      <c r="E35" s="1" t="e">
        <f>+#REF!</f>
        <v>#REF!</v>
      </c>
      <c r="F35" s="1" t="e">
        <f>+#REF!</f>
        <v>#REF!</v>
      </c>
      <c r="G35" s="1" t="e">
        <f>+#REF!</f>
        <v>#REF!</v>
      </c>
      <c r="H35" s="2" t="e">
        <f>+#REF!</f>
        <v>#REF!</v>
      </c>
      <c r="I35" s="2" t="e">
        <f>+#REF!</f>
        <v>#REF!</v>
      </c>
      <c r="J35" s="2" t="e">
        <f>+#REF!</f>
        <v>#REF!</v>
      </c>
      <c r="K35" s="2" t="e">
        <f>+#REF!</f>
        <v>#REF!</v>
      </c>
      <c r="L35" s="2" t="e">
        <f>+#REF!</f>
        <v>#REF!</v>
      </c>
      <c r="M35" s="2" t="e">
        <f>+#REF!</f>
        <v>#REF!</v>
      </c>
      <c r="N35" s="2" t="e">
        <f>+#REF!</f>
        <v>#REF!</v>
      </c>
      <c r="O35" s="2" t="e">
        <f>+#REF!</f>
        <v>#REF!</v>
      </c>
      <c r="P35" s="2" t="e">
        <f>+#REF!</f>
        <v>#REF!</v>
      </c>
      <c r="Q35" s="2" t="e">
        <f>+#REF!</f>
        <v>#REF!</v>
      </c>
      <c r="R35" s="2" t="e">
        <f>+#REF!</f>
        <v>#REF!</v>
      </c>
      <c r="S35" s="2" t="e">
        <f>+#REF!</f>
        <v>#REF!</v>
      </c>
      <c r="T35" s="2" t="e">
        <f>+#REF!</f>
        <v>#REF!</v>
      </c>
      <c r="U35" s="2" t="e">
        <f>+#REF!</f>
        <v>#REF!</v>
      </c>
      <c r="V35" s="2" t="e">
        <f>+#REF!</f>
        <v>#REF!</v>
      </c>
      <c r="W35" s="2" t="e">
        <f>+#REF!</f>
        <v>#REF!</v>
      </c>
      <c r="X35" s="2" t="e">
        <f>+#REF!</f>
        <v>#REF!</v>
      </c>
      <c r="Y35" s="2" t="e">
        <f>+#REF!</f>
        <v>#REF!</v>
      </c>
      <c r="Z35" s="2" t="e">
        <f>+#REF!</f>
        <v>#REF!</v>
      </c>
      <c r="AA35" s="2" t="e">
        <f>+#REF!</f>
        <v>#REF!</v>
      </c>
      <c r="AB35" s="2" t="e">
        <f>+#REF!</f>
        <v>#REF!</v>
      </c>
      <c r="AC35" s="2" t="e">
        <f>+#REF!</f>
        <v>#REF!</v>
      </c>
      <c r="AD35" s="2" t="e">
        <f>+#REF!</f>
        <v>#REF!</v>
      </c>
      <c r="AE35" s="2" t="e">
        <f>+#REF!</f>
        <v>#REF!</v>
      </c>
      <c r="AF35" s="2" t="e">
        <f>+#REF!</f>
        <v>#REF!</v>
      </c>
      <c r="AG35" s="2" t="e">
        <f>+#REF!</f>
        <v>#REF!</v>
      </c>
      <c r="AH35" s="77" t="e">
        <f t="shared" ref="AH35" si="10">+W35+AB35+AG35</f>
        <v>#REF!</v>
      </c>
      <c r="AR35" s="35" t="e">
        <f>+#REF!</f>
        <v>#REF!</v>
      </c>
      <c r="AS35" s="1" t="e">
        <f>+#REF!</f>
        <v>#REF!</v>
      </c>
      <c r="AT35" s="1" t="e">
        <f>+#REF!</f>
        <v>#REF!</v>
      </c>
      <c r="AU35" s="1" t="e">
        <f>+#REF!</f>
        <v>#REF!</v>
      </c>
      <c r="AV35" s="79" t="e">
        <f t="shared" ref="AV35" si="11">SUM(AR35:AU35)</f>
        <v>#REF!</v>
      </c>
    </row>
    <row r="36" spans="1:48" ht="15.75" x14ac:dyDescent="0.3">
      <c r="A36" s="17"/>
      <c r="B36" t="s">
        <v>33</v>
      </c>
      <c r="C36" s="24" t="s">
        <v>35</v>
      </c>
      <c r="D36" s="35" t="e">
        <f>+#REF!</f>
        <v>#REF!</v>
      </c>
      <c r="E36" s="1" t="e">
        <f>+#REF!</f>
        <v>#REF!</v>
      </c>
      <c r="F36" s="1" t="e">
        <f>+#REF!</f>
        <v>#REF!</v>
      </c>
      <c r="G36" s="1" t="e">
        <f>+#REF!</f>
        <v>#REF!</v>
      </c>
      <c r="H36" s="2" t="e">
        <f>+#REF!</f>
        <v>#REF!</v>
      </c>
      <c r="I36" s="2" t="e">
        <f>+#REF!</f>
        <v>#REF!</v>
      </c>
      <c r="J36" s="2" t="e">
        <f>+#REF!</f>
        <v>#REF!</v>
      </c>
      <c r="K36" s="2" t="e">
        <f>+#REF!</f>
        <v>#REF!</v>
      </c>
      <c r="L36" s="2" t="e">
        <f>+#REF!</f>
        <v>#REF!</v>
      </c>
      <c r="M36" s="2" t="e">
        <f>+#REF!</f>
        <v>#REF!</v>
      </c>
      <c r="N36" s="2" t="e">
        <f>+#REF!</f>
        <v>#REF!</v>
      </c>
      <c r="O36" s="2" t="e">
        <f>+#REF!</f>
        <v>#REF!</v>
      </c>
      <c r="P36" s="2" t="e">
        <f>+#REF!</f>
        <v>#REF!</v>
      </c>
      <c r="Q36" s="2" t="e">
        <f>+#REF!</f>
        <v>#REF!</v>
      </c>
      <c r="R36" s="2" t="e">
        <f>+#REF!</f>
        <v>#REF!</v>
      </c>
      <c r="S36" s="2" t="e">
        <f>+#REF!</f>
        <v>#REF!</v>
      </c>
      <c r="T36" s="2" t="e">
        <f>+#REF!</f>
        <v>#REF!</v>
      </c>
      <c r="U36" s="2" t="e">
        <f>+#REF!</f>
        <v>#REF!</v>
      </c>
      <c r="V36" s="2" t="e">
        <f>+#REF!</f>
        <v>#REF!</v>
      </c>
      <c r="W36" s="2" t="e">
        <f>+#REF!</f>
        <v>#REF!</v>
      </c>
      <c r="X36" s="2" t="e">
        <f>+#REF!</f>
        <v>#REF!</v>
      </c>
      <c r="Y36" s="2" t="e">
        <f>+#REF!</f>
        <v>#REF!</v>
      </c>
      <c r="Z36" s="2" t="e">
        <f>+#REF!</f>
        <v>#REF!</v>
      </c>
      <c r="AA36" s="2" t="e">
        <f>+#REF!</f>
        <v>#REF!</v>
      </c>
      <c r="AB36" s="2" t="e">
        <f>+#REF!</f>
        <v>#REF!</v>
      </c>
      <c r="AC36" s="2" t="e">
        <f>+#REF!</f>
        <v>#REF!</v>
      </c>
      <c r="AD36" s="2" t="e">
        <f>+#REF!</f>
        <v>#REF!</v>
      </c>
      <c r="AE36" s="2" t="e">
        <f>+#REF!</f>
        <v>#REF!</v>
      </c>
      <c r="AF36" s="2" t="e">
        <f>+#REF!</f>
        <v>#REF!</v>
      </c>
      <c r="AG36" s="2" t="e">
        <f>+#REF!</f>
        <v>#REF!</v>
      </c>
      <c r="AH36" s="77" t="e">
        <f t="shared" si="0"/>
        <v>#REF!</v>
      </c>
      <c r="AR36" s="35" t="e">
        <f>+#REF!</f>
        <v>#REF!</v>
      </c>
      <c r="AS36" s="1" t="e">
        <f>+#REF!</f>
        <v>#REF!</v>
      </c>
      <c r="AT36" s="1" t="e">
        <f>+#REF!</f>
        <v>#REF!</v>
      </c>
      <c r="AU36" s="1" t="e">
        <f>+#REF!</f>
        <v>#REF!</v>
      </c>
      <c r="AV36" s="79" t="e">
        <f t="shared" si="1"/>
        <v>#REF!</v>
      </c>
    </row>
    <row r="37" spans="1:48" ht="16.399999999999999" thickBot="1" x14ac:dyDescent="0.35">
      <c r="A37" s="17"/>
      <c r="B37" t="s">
        <v>67</v>
      </c>
      <c r="C37" s="25" t="s">
        <v>36</v>
      </c>
      <c r="D37" s="36" t="e">
        <f>+#REF!</f>
        <v>#REF!</v>
      </c>
      <c r="E37" s="37" t="e">
        <f>+#REF!</f>
        <v>#REF!</v>
      </c>
      <c r="F37" s="37" t="e">
        <f>+#REF!</f>
        <v>#REF!</v>
      </c>
      <c r="G37" s="37" t="e">
        <f>+#REF!</f>
        <v>#REF!</v>
      </c>
      <c r="H37" s="50" t="e">
        <f>+#REF!</f>
        <v>#REF!</v>
      </c>
      <c r="I37" s="50" t="e">
        <f>+#REF!</f>
        <v>#REF!</v>
      </c>
      <c r="J37" s="50" t="e">
        <f>+#REF!</f>
        <v>#REF!</v>
      </c>
      <c r="K37" s="50" t="e">
        <f>+#REF!</f>
        <v>#REF!</v>
      </c>
      <c r="L37" s="50" t="e">
        <f>+#REF!</f>
        <v>#REF!</v>
      </c>
      <c r="M37" s="50" t="e">
        <f>+#REF!</f>
        <v>#REF!</v>
      </c>
      <c r="N37" s="50" t="e">
        <f>+#REF!</f>
        <v>#REF!</v>
      </c>
      <c r="O37" s="50" t="e">
        <f>+#REF!</f>
        <v>#REF!</v>
      </c>
      <c r="P37" s="50" t="e">
        <f>+#REF!</f>
        <v>#REF!</v>
      </c>
      <c r="Q37" s="50" t="e">
        <f>+#REF!</f>
        <v>#REF!</v>
      </c>
      <c r="R37" s="50" t="e">
        <f>+#REF!</f>
        <v>#REF!</v>
      </c>
      <c r="S37" s="50" t="e">
        <f>+#REF!</f>
        <v>#REF!</v>
      </c>
      <c r="T37" s="50" t="e">
        <f>+#REF!</f>
        <v>#REF!</v>
      </c>
      <c r="U37" s="50" t="e">
        <f>+#REF!</f>
        <v>#REF!</v>
      </c>
      <c r="V37" s="50" t="e">
        <f>+#REF!</f>
        <v>#REF!</v>
      </c>
      <c r="W37" s="50" t="e">
        <f>+#REF!</f>
        <v>#REF!</v>
      </c>
      <c r="X37" s="50" t="e">
        <f>+#REF!</f>
        <v>#REF!</v>
      </c>
      <c r="Y37" s="50" t="e">
        <f>+#REF!</f>
        <v>#REF!</v>
      </c>
      <c r="Z37" s="50" t="e">
        <f>+#REF!</f>
        <v>#REF!</v>
      </c>
      <c r="AA37" s="50" t="e">
        <f>+#REF!</f>
        <v>#REF!</v>
      </c>
      <c r="AB37" s="50" t="e">
        <f>+#REF!</f>
        <v>#REF!</v>
      </c>
      <c r="AC37" s="50" t="e">
        <f>+#REF!</f>
        <v>#REF!</v>
      </c>
      <c r="AD37" s="50" t="e">
        <f>+#REF!</f>
        <v>#REF!</v>
      </c>
      <c r="AE37" s="50" t="e">
        <f>+#REF!</f>
        <v>#REF!</v>
      </c>
      <c r="AF37" s="50" t="e">
        <f>+#REF!</f>
        <v>#REF!</v>
      </c>
      <c r="AG37" s="50" t="e">
        <f>+#REF!</f>
        <v>#REF!</v>
      </c>
      <c r="AH37" s="77" t="e">
        <f t="shared" si="0"/>
        <v>#REF!</v>
      </c>
      <c r="AR37" s="36" t="e">
        <f>+#REF!</f>
        <v>#REF!</v>
      </c>
      <c r="AS37" s="37" t="e">
        <f>+#REF!</f>
        <v>#REF!</v>
      </c>
      <c r="AT37" s="37" t="e">
        <f>+#REF!</f>
        <v>#REF!</v>
      </c>
      <c r="AU37" s="37" t="e">
        <f>+#REF!</f>
        <v>#REF!</v>
      </c>
      <c r="AV37" s="79" t="e">
        <f t="shared" si="1"/>
        <v>#REF!</v>
      </c>
    </row>
    <row r="38" spans="1:48" ht="16.399999999999999" thickBot="1" x14ac:dyDescent="0.35">
      <c r="A38" s="17"/>
      <c r="C38" s="28" t="s">
        <v>84</v>
      </c>
      <c r="D38" s="54" t="e">
        <f t="shared" ref="D38:AG38" si="12">SUM(D33:D37)</f>
        <v>#REF!</v>
      </c>
      <c r="E38" s="54" t="e">
        <f t="shared" si="12"/>
        <v>#REF!</v>
      </c>
      <c r="F38" s="54" t="e">
        <f t="shared" si="12"/>
        <v>#REF!</v>
      </c>
      <c r="G38" s="54" t="e">
        <f t="shared" si="12"/>
        <v>#REF!</v>
      </c>
      <c r="H38" s="54" t="e">
        <f t="shared" si="12"/>
        <v>#REF!</v>
      </c>
      <c r="I38" s="54" t="e">
        <f t="shared" si="12"/>
        <v>#REF!</v>
      </c>
      <c r="J38" s="54" t="e">
        <f t="shared" si="12"/>
        <v>#REF!</v>
      </c>
      <c r="K38" s="54" t="e">
        <f t="shared" si="12"/>
        <v>#REF!</v>
      </c>
      <c r="L38" s="54" t="e">
        <f t="shared" si="12"/>
        <v>#REF!</v>
      </c>
      <c r="M38" s="54" t="e">
        <f t="shared" si="12"/>
        <v>#REF!</v>
      </c>
      <c r="N38" s="54" t="e">
        <f t="shared" si="12"/>
        <v>#REF!</v>
      </c>
      <c r="O38" s="54" t="e">
        <f t="shared" si="12"/>
        <v>#REF!</v>
      </c>
      <c r="P38" s="54" t="e">
        <f t="shared" si="12"/>
        <v>#REF!</v>
      </c>
      <c r="Q38" s="54" t="e">
        <f t="shared" si="12"/>
        <v>#REF!</v>
      </c>
      <c r="R38" s="54" t="e">
        <f t="shared" si="12"/>
        <v>#REF!</v>
      </c>
      <c r="S38" s="54" t="e">
        <f t="shared" si="12"/>
        <v>#REF!</v>
      </c>
      <c r="T38" s="54" t="e">
        <f t="shared" si="12"/>
        <v>#REF!</v>
      </c>
      <c r="U38" s="54" t="e">
        <f t="shared" si="12"/>
        <v>#REF!</v>
      </c>
      <c r="V38" s="54" t="e">
        <f t="shared" si="12"/>
        <v>#REF!</v>
      </c>
      <c r="W38" s="54" t="e">
        <f t="shared" si="12"/>
        <v>#REF!</v>
      </c>
      <c r="X38" s="54" t="e">
        <f t="shared" si="12"/>
        <v>#REF!</v>
      </c>
      <c r="Y38" s="54" t="e">
        <f t="shared" si="12"/>
        <v>#REF!</v>
      </c>
      <c r="Z38" s="54" t="e">
        <f t="shared" si="12"/>
        <v>#REF!</v>
      </c>
      <c r="AA38" s="54" t="e">
        <f t="shared" si="12"/>
        <v>#REF!</v>
      </c>
      <c r="AB38" s="54" t="e">
        <f t="shared" si="12"/>
        <v>#REF!</v>
      </c>
      <c r="AC38" s="54" t="e">
        <f t="shared" si="12"/>
        <v>#REF!</v>
      </c>
      <c r="AD38" s="54" t="e">
        <f t="shared" si="12"/>
        <v>#REF!</v>
      </c>
      <c r="AE38" s="54" t="e">
        <f t="shared" si="12"/>
        <v>#REF!</v>
      </c>
      <c r="AF38" s="54" t="e">
        <f t="shared" si="12"/>
        <v>#REF!</v>
      </c>
      <c r="AG38" s="54" t="e">
        <f t="shared" si="12"/>
        <v>#REF!</v>
      </c>
      <c r="AH38" s="77" t="e">
        <f t="shared" si="0"/>
        <v>#REF!</v>
      </c>
      <c r="AR38" s="51" t="e">
        <f>SUM(AR33:AR37)</f>
        <v>#REF!</v>
      </c>
      <c r="AS38" s="51" t="e">
        <f>SUM(AS33:AS37)</f>
        <v>#REF!</v>
      </c>
      <c r="AT38" s="51" t="e">
        <f>SUM(AT33:AT37)</f>
        <v>#REF!</v>
      </c>
      <c r="AU38" s="51" t="e">
        <f>SUM(AU33:AU37)</f>
        <v>#REF!</v>
      </c>
      <c r="AV38" s="79" t="e">
        <f t="shared" si="1"/>
        <v>#REF!</v>
      </c>
    </row>
    <row r="39" spans="1:48" ht="15.75" x14ac:dyDescent="0.3">
      <c r="A39" s="17"/>
      <c r="B39" t="s">
        <v>67</v>
      </c>
      <c r="C39" s="26" t="s">
        <v>61</v>
      </c>
      <c r="D39" s="33" t="e">
        <f>+#REF!</f>
        <v>#REF!</v>
      </c>
      <c r="E39" s="34" t="e">
        <f>+#REF!</f>
        <v>#REF!</v>
      </c>
      <c r="F39" s="34" t="e">
        <f>+#REF!</f>
        <v>#REF!</v>
      </c>
      <c r="G39" s="34" t="e">
        <f>+#REF!</f>
        <v>#REF!</v>
      </c>
      <c r="H39" s="48" t="e">
        <f>+#REF!</f>
        <v>#REF!</v>
      </c>
      <c r="I39" s="48" t="e">
        <f>+#REF!</f>
        <v>#REF!</v>
      </c>
      <c r="J39" s="48" t="e">
        <f>+#REF!</f>
        <v>#REF!</v>
      </c>
      <c r="K39" s="48" t="e">
        <f>+#REF!</f>
        <v>#REF!</v>
      </c>
      <c r="L39" s="48" t="e">
        <f>+#REF!</f>
        <v>#REF!</v>
      </c>
      <c r="M39" s="48" t="e">
        <f>+#REF!</f>
        <v>#REF!</v>
      </c>
      <c r="N39" s="48" t="e">
        <f>+#REF!</f>
        <v>#REF!</v>
      </c>
      <c r="O39" s="48" t="e">
        <f>+#REF!</f>
        <v>#REF!</v>
      </c>
      <c r="P39" s="48" t="e">
        <f>+#REF!</f>
        <v>#REF!</v>
      </c>
      <c r="Q39" s="48" t="e">
        <f>+#REF!</f>
        <v>#REF!</v>
      </c>
      <c r="R39" s="48" t="e">
        <f>+#REF!</f>
        <v>#REF!</v>
      </c>
      <c r="S39" s="48" t="e">
        <f>+#REF!</f>
        <v>#REF!</v>
      </c>
      <c r="T39" s="48" t="e">
        <f>+#REF!</f>
        <v>#REF!</v>
      </c>
      <c r="U39" s="48" t="e">
        <f>+#REF!</f>
        <v>#REF!</v>
      </c>
      <c r="V39" s="48" t="e">
        <f>+#REF!</f>
        <v>#REF!</v>
      </c>
      <c r="W39" s="48" t="e">
        <f>+#REF!</f>
        <v>#REF!</v>
      </c>
      <c r="X39" s="48" t="e">
        <f>+#REF!</f>
        <v>#REF!</v>
      </c>
      <c r="Y39" s="48" t="e">
        <f>+#REF!</f>
        <v>#REF!</v>
      </c>
      <c r="Z39" s="48" t="e">
        <f>+#REF!</f>
        <v>#REF!</v>
      </c>
      <c r="AA39" s="48" t="e">
        <f>+#REF!</f>
        <v>#REF!</v>
      </c>
      <c r="AB39" s="48" t="e">
        <f>+#REF!</f>
        <v>#REF!</v>
      </c>
      <c r="AC39" s="48" t="e">
        <f>+#REF!</f>
        <v>#REF!</v>
      </c>
      <c r="AD39" s="48" t="e">
        <f>+#REF!</f>
        <v>#REF!</v>
      </c>
      <c r="AE39" s="48" t="e">
        <f>+#REF!</f>
        <v>#REF!</v>
      </c>
      <c r="AF39" s="48" t="e">
        <f>+#REF!</f>
        <v>#REF!</v>
      </c>
      <c r="AG39" s="48" t="e">
        <f>+#REF!</f>
        <v>#REF!</v>
      </c>
      <c r="AH39" s="77" t="e">
        <f t="shared" si="0"/>
        <v>#REF!</v>
      </c>
      <c r="AR39" s="33" t="e">
        <f>+#REF!</f>
        <v>#REF!</v>
      </c>
      <c r="AS39" s="34" t="e">
        <f>+#REF!</f>
        <v>#REF!</v>
      </c>
      <c r="AT39" s="34" t="e">
        <f>+#REF!</f>
        <v>#REF!</v>
      </c>
      <c r="AU39" s="34" t="e">
        <f>+#REF!</f>
        <v>#REF!</v>
      </c>
      <c r="AV39" s="79" t="e">
        <f t="shared" si="1"/>
        <v>#REF!</v>
      </c>
    </row>
    <row r="40" spans="1:48" ht="15.75" x14ac:dyDescent="0.3">
      <c r="A40" s="17"/>
      <c r="B40" t="s">
        <v>67</v>
      </c>
      <c r="C40" s="24" t="s">
        <v>62</v>
      </c>
      <c r="D40" s="35" t="e">
        <f>+#REF!</f>
        <v>#REF!</v>
      </c>
      <c r="E40" s="1" t="e">
        <f>+#REF!</f>
        <v>#REF!</v>
      </c>
      <c r="F40" s="1" t="e">
        <f>+#REF!</f>
        <v>#REF!</v>
      </c>
      <c r="G40" s="1" t="e">
        <f>+#REF!</f>
        <v>#REF!</v>
      </c>
      <c r="H40" s="2" t="e">
        <f>+#REF!</f>
        <v>#REF!</v>
      </c>
      <c r="I40" s="2" t="e">
        <f>+#REF!</f>
        <v>#REF!</v>
      </c>
      <c r="J40" s="2" t="e">
        <f>+#REF!</f>
        <v>#REF!</v>
      </c>
      <c r="K40" s="2" t="e">
        <f>+#REF!</f>
        <v>#REF!</v>
      </c>
      <c r="L40" s="2" t="e">
        <f>+#REF!</f>
        <v>#REF!</v>
      </c>
      <c r="M40" s="2" t="e">
        <f>+#REF!</f>
        <v>#REF!</v>
      </c>
      <c r="N40" s="2" t="e">
        <f>+#REF!</f>
        <v>#REF!</v>
      </c>
      <c r="O40" s="2" t="e">
        <f>+#REF!</f>
        <v>#REF!</v>
      </c>
      <c r="P40" s="2" t="e">
        <f>+#REF!</f>
        <v>#REF!</v>
      </c>
      <c r="Q40" s="2" t="e">
        <f>+#REF!</f>
        <v>#REF!</v>
      </c>
      <c r="R40" s="2" t="e">
        <f>+#REF!</f>
        <v>#REF!</v>
      </c>
      <c r="S40" s="2" t="e">
        <f>+#REF!</f>
        <v>#REF!</v>
      </c>
      <c r="T40" s="2" t="e">
        <f>+#REF!</f>
        <v>#REF!</v>
      </c>
      <c r="U40" s="2" t="e">
        <f>+#REF!</f>
        <v>#REF!</v>
      </c>
      <c r="V40" s="2" t="e">
        <f>+#REF!</f>
        <v>#REF!</v>
      </c>
      <c r="W40" s="2" t="e">
        <f>+#REF!</f>
        <v>#REF!</v>
      </c>
      <c r="X40" s="2" t="e">
        <f>+#REF!</f>
        <v>#REF!</v>
      </c>
      <c r="Y40" s="2" t="e">
        <f>+#REF!</f>
        <v>#REF!</v>
      </c>
      <c r="Z40" s="2" t="e">
        <f>+#REF!</f>
        <v>#REF!</v>
      </c>
      <c r="AA40" s="2" t="e">
        <f>+#REF!</f>
        <v>#REF!</v>
      </c>
      <c r="AB40" s="2" t="e">
        <f>+#REF!</f>
        <v>#REF!</v>
      </c>
      <c r="AC40" s="2" t="e">
        <f>+#REF!</f>
        <v>#REF!</v>
      </c>
      <c r="AD40" s="2" t="e">
        <f>+#REF!</f>
        <v>#REF!</v>
      </c>
      <c r="AE40" s="2" t="e">
        <f>+#REF!</f>
        <v>#REF!</v>
      </c>
      <c r="AF40" s="2" t="e">
        <f>+#REF!</f>
        <v>#REF!</v>
      </c>
      <c r="AG40" s="2" t="e">
        <f>+#REF!</f>
        <v>#REF!</v>
      </c>
      <c r="AH40" s="77" t="e">
        <f t="shared" si="0"/>
        <v>#REF!</v>
      </c>
      <c r="AR40" s="35" t="e">
        <f>+#REF!</f>
        <v>#REF!</v>
      </c>
      <c r="AS40" s="1" t="e">
        <f>+#REF!</f>
        <v>#REF!</v>
      </c>
      <c r="AT40" s="1" t="e">
        <f>+#REF!</f>
        <v>#REF!</v>
      </c>
      <c r="AU40" s="1" t="e">
        <f>+#REF!</f>
        <v>#REF!</v>
      </c>
      <c r="AV40" s="79" t="e">
        <f t="shared" si="1"/>
        <v>#REF!</v>
      </c>
    </row>
    <row r="41" spans="1:48" ht="15.75" x14ac:dyDescent="0.3">
      <c r="A41" s="17"/>
      <c r="B41" t="s">
        <v>67</v>
      </c>
      <c r="C41" s="24" t="s">
        <v>66</v>
      </c>
      <c r="D41" s="35" t="e">
        <f>+#REF!</f>
        <v>#REF!</v>
      </c>
      <c r="E41" s="1" t="e">
        <f>+#REF!</f>
        <v>#REF!</v>
      </c>
      <c r="F41" s="1" t="e">
        <f>+#REF!</f>
        <v>#REF!</v>
      </c>
      <c r="G41" s="1" t="e">
        <f>+#REF!</f>
        <v>#REF!</v>
      </c>
      <c r="H41" s="2" t="e">
        <f>+#REF!</f>
        <v>#REF!</v>
      </c>
      <c r="I41" s="2" t="e">
        <f>+#REF!</f>
        <v>#REF!</v>
      </c>
      <c r="J41" s="2" t="e">
        <f>+#REF!</f>
        <v>#REF!</v>
      </c>
      <c r="K41" s="2" t="e">
        <f>+#REF!</f>
        <v>#REF!</v>
      </c>
      <c r="L41" s="2" t="e">
        <f>+#REF!</f>
        <v>#REF!</v>
      </c>
      <c r="M41" s="2" t="e">
        <f>+#REF!</f>
        <v>#REF!</v>
      </c>
      <c r="N41" s="2" t="e">
        <f>+#REF!</f>
        <v>#REF!</v>
      </c>
      <c r="O41" s="2" t="e">
        <f>+#REF!</f>
        <v>#REF!</v>
      </c>
      <c r="P41" s="2" t="e">
        <f>+#REF!</f>
        <v>#REF!</v>
      </c>
      <c r="Q41" s="2" t="e">
        <f>+#REF!</f>
        <v>#REF!</v>
      </c>
      <c r="R41" s="2" t="e">
        <f>+#REF!</f>
        <v>#REF!</v>
      </c>
      <c r="S41" s="2" t="e">
        <f>+#REF!</f>
        <v>#REF!</v>
      </c>
      <c r="T41" s="2" t="e">
        <f>+#REF!</f>
        <v>#REF!</v>
      </c>
      <c r="U41" s="2" t="e">
        <f>+#REF!</f>
        <v>#REF!</v>
      </c>
      <c r="V41" s="2" t="e">
        <f>+#REF!</f>
        <v>#REF!</v>
      </c>
      <c r="W41" s="2" t="e">
        <f>+#REF!</f>
        <v>#REF!</v>
      </c>
      <c r="X41" s="2" t="e">
        <f>+#REF!</f>
        <v>#REF!</v>
      </c>
      <c r="Y41" s="2" t="e">
        <f>+#REF!</f>
        <v>#REF!</v>
      </c>
      <c r="Z41" s="2" t="e">
        <f>+#REF!</f>
        <v>#REF!</v>
      </c>
      <c r="AA41" s="2" t="e">
        <f>+#REF!</f>
        <v>#REF!</v>
      </c>
      <c r="AB41" s="2" t="e">
        <f>+#REF!</f>
        <v>#REF!</v>
      </c>
      <c r="AC41" s="2" t="e">
        <f>+#REF!</f>
        <v>#REF!</v>
      </c>
      <c r="AD41" s="2" t="e">
        <f>+#REF!</f>
        <v>#REF!</v>
      </c>
      <c r="AE41" s="2" t="e">
        <f>+#REF!</f>
        <v>#REF!</v>
      </c>
      <c r="AF41" s="2" t="e">
        <f>+#REF!</f>
        <v>#REF!</v>
      </c>
      <c r="AG41" s="2" t="e">
        <f>+#REF!</f>
        <v>#REF!</v>
      </c>
      <c r="AH41" s="77" t="e">
        <f t="shared" si="0"/>
        <v>#REF!</v>
      </c>
      <c r="AR41" s="35" t="e">
        <f>+#REF!</f>
        <v>#REF!</v>
      </c>
      <c r="AS41" s="1" t="e">
        <f>+#REF!</f>
        <v>#REF!</v>
      </c>
      <c r="AT41" s="1" t="e">
        <f>+#REF!</f>
        <v>#REF!</v>
      </c>
      <c r="AU41" s="1" t="e">
        <f>+#REF!</f>
        <v>#REF!</v>
      </c>
      <c r="AV41" s="79" t="e">
        <f t="shared" si="1"/>
        <v>#REF!</v>
      </c>
    </row>
    <row r="42" spans="1:48" ht="15.75" x14ac:dyDescent="0.3">
      <c r="A42" s="17"/>
      <c r="B42" t="s">
        <v>67</v>
      </c>
      <c r="C42" s="24" t="s">
        <v>82</v>
      </c>
      <c r="D42" s="35" t="e">
        <f>+#REF!</f>
        <v>#REF!</v>
      </c>
      <c r="E42" s="1" t="e">
        <f>+#REF!</f>
        <v>#REF!</v>
      </c>
      <c r="F42" s="1" t="e">
        <f>+#REF!</f>
        <v>#REF!</v>
      </c>
      <c r="G42" s="1" t="e">
        <f>+#REF!</f>
        <v>#REF!</v>
      </c>
      <c r="H42" s="2" t="e">
        <f>+#REF!</f>
        <v>#REF!</v>
      </c>
      <c r="I42" s="2" t="e">
        <f>+#REF!</f>
        <v>#REF!</v>
      </c>
      <c r="J42" s="2" t="e">
        <f>+#REF!</f>
        <v>#REF!</v>
      </c>
      <c r="K42" s="2" t="e">
        <f>+#REF!</f>
        <v>#REF!</v>
      </c>
      <c r="L42" s="2" t="e">
        <f>+#REF!</f>
        <v>#REF!</v>
      </c>
      <c r="M42" s="2" t="e">
        <f>+#REF!</f>
        <v>#REF!</v>
      </c>
      <c r="N42" s="2" t="e">
        <f>+#REF!</f>
        <v>#REF!</v>
      </c>
      <c r="O42" s="2" t="e">
        <f>+#REF!</f>
        <v>#REF!</v>
      </c>
      <c r="P42" s="2" t="e">
        <f>+#REF!</f>
        <v>#REF!</v>
      </c>
      <c r="Q42" s="2" t="e">
        <f>+#REF!</f>
        <v>#REF!</v>
      </c>
      <c r="R42" s="2" t="e">
        <f>+#REF!</f>
        <v>#REF!</v>
      </c>
      <c r="S42" s="2" t="e">
        <f>+#REF!</f>
        <v>#REF!</v>
      </c>
      <c r="T42" s="2" t="e">
        <f>+#REF!</f>
        <v>#REF!</v>
      </c>
      <c r="U42" s="2" t="e">
        <f>+#REF!</f>
        <v>#REF!</v>
      </c>
      <c r="V42" s="2" t="e">
        <f>+#REF!</f>
        <v>#REF!</v>
      </c>
      <c r="W42" s="2" t="e">
        <f>+#REF!</f>
        <v>#REF!</v>
      </c>
      <c r="X42" s="2" t="e">
        <f>+#REF!</f>
        <v>#REF!</v>
      </c>
      <c r="Y42" s="2" t="e">
        <f>+#REF!</f>
        <v>#REF!</v>
      </c>
      <c r="Z42" s="2" t="e">
        <f>+#REF!</f>
        <v>#REF!</v>
      </c>
      <c r="AA42" s="2" t="e">
        <f>+#REF!</f>
        <v>#REF!</v>
      </c>
      <c r="AB42" s="2" t="e">
        <f>+#REF!</f>
        <v>#REF!</v>
      </c>
      <c r="AC42" s="2" t="e">
        <f>+#REF!</f>
        <v>#REF!</v>
      </c>
      <c r="AD42" s="2" t="e">
        <f>+#REF!</f>
        <v>#REF!</v>
      </c>
      <c r="AE42" s="2" t="e">
        <f>+#REF!</f>
        <v>#REF!</v>
      </c>
      <c r="AF42" s="2" t="e">
        <f>+#REF!</f>
        <v>#REF!</v>
      </c>
      <c r="AG42" s="2" t="e">
        <f>+#REF!</f>
        <v>#REF!</v>
      </c>
      <c r="AH42" s="77" t="e">
        <f t="shared" si="0"/>
        <v>#REF!</v>
      </c>
      <c r="AR42" s="35" t="e">
        <f>+#REF!</f>
        <v>#REF!</v>
      </c>
      <c r="AS42" s="1" t="e">
        <f>+#REF!</f>
        <v>#REF!</v>
      </c>
      <c r="AT42" s="1" t="e">
        <f>+#REF!</f>
        <v>#REF!</v>
      </c>
      <c r="AU42" s="1" t="e">
        <f>+#REF!</f>
        <v>#REF!</v>
      </c>
      <c r="AV42" s="79" t="e">
        <f t="shared" si="1"/>
        <v>#REF!</v>
      </c>
    </row>
    <row r="43" spans="1:48" ht="15.75" x14ac:dyDescent="0.3">
      <c r="A43" s="17"/>
      <c r="B43" t="s">
        <v>67</v>
      </c>
      <c r="C43" s="24" t="s">
        <v>67</v>
      </c>
      <c r="D43" s="35" t="e">
        <f>+#REF!</f>
        <v>#REF!</v>
      </c>
      <c r="E43" s="1" t="e">
        <f>+#REF!</f>
        <v>#REF!</v>
      </c>
      <c r="F43" s="1" t="e">
        <f>+#REF!</f>
        <v>#REF!</v>
      </c>
      <c r="G43" s="1" t="e">
        <f>+#REF!</f>
        <v>#REF!</v>
      </c>
      <c r="H43" s="2" t="e">
        <f>+#REF!</f>
        <v>#REF!</v>
      </c>
      <c r="I43" s="2" t="e">
        <f>+#REF!</f>
        <v>#REF!</v>
      </c>
      <c r="J43" s="2" t="e">
        <f>+#REF!</f>
        <v>#REF!</v>
      </c>
      <c r="K43" s="2" t="e">
        <f>+#REF!</f>
        <v>#REF!</v>
      </c>
      <c r="L43" s="2" t="e">
        <f>+#REF!</f>
        <v>#REF!</v>
      </c>
      <c r="M43" s="2" t="e">
        <f>+#REF!</f>
        <v>#REF!</v>
      </c>
      <c r="N43" s="2" t="e">
        <f>+#REF!</f>
        <v>#REF!</v>
      </c>
      <c r="O43" s="2" t="e">
        <f>+#REF!</f>
        <v>#REF!</v>
      </c>
      <c r="P43" s="2" t="e">
        <f>+#REF!</f>
        <v>#REF!</v>
      </c>
      <c r="Q43" s="2" t="e">
        <f>+#REF!</f>
        <v>#REF!</v>
      </c>
      <c r="R43" s="2" t="e">
        <f>+#REF!</f>
        <v>#REF!</v>
      </c>
      <c r="S43" s="2" t="e">
        <f>+#REF!</f>
        <v>#REF!</v>
      </c>
      <c r="T43" s="2" t="e">
        <f>+#REF!</f>
        <v>#REF!</v>
      </c>
      <c r="U43" s="2" t="e">
        <f>+#REF!</f>
        <v>#REF!</v>
      </c>
      <c r="V43" s="2" t="e">
        <f>+#REF!</f>
        <v>#REF!</v>
      </c>
      <c r="W43" s="2" t="e">
        <f>+#REF!</f>
        <v>#REF!</v>
      </c>
      <c r="X43" s="2" t="e">
        <f>+#REF!</f>
        <v>#REF!</v>
      </c>
      <c r="Y43" s="2" t="e">
        <f>+#REF!</f>
        <v>#REF!</v>
      </c>
      <c r="Z43" s="2" t="e">
        <f>+#REF!</f>
        <v>#REF!</v>
      </c>
      <c r="AA43" s="2" t="e">
        <f>+#REF!</f>
        <v>#REF!</v>
      </c>
      <c r="AB43" s="2" t="e">
        <f>+#REF!</f>
        <v>#REF!</v>
      </c>
      <c r="AC43" s="2" t="e">
        <f>+#REF!</f>
        <v>#REF!</v>
      </c>
      <c r="AD43" s="2" t="e">
        <f>+#REF!</f>
        <v>#REF!</v>
      </c>
      <c r="AE43" s="2" t="e">
        <f>+#REF!</f>
        <v>#REF!</v>
      </c>
      <c r="AF43" s="2" t="e">
        <f>+#REF!</f>
        <v>#REF!</v>
      </c>
      <c r="AG43" s="2" t="e">
        <f>+#REF!</f>
        <v>#REF!</v>
      </c>
      <c r="AH43" s="77" t="e">
        <f t="shared" si="0"/>
        <v>#REF!</v>
      </c>
      <c r="AR43" s="35" t="e">
        <f>+#REF!</f>
        <v>#REF!</v>
      </c>
      <c r="AS43" s="1" t="e">
        <f>+#REF!</f>
        <v>#REF!</v>
      </c>
      <c r="AT43" s="1" t="e">
        <f>+#REF!</f>
        <v>#REF!</v>
      </c>
      <c r="AU43" s="1" t="e">
        <f>+#REF!</f>
        <v>#REF!</v>
      </c>
      <c r="AV43" s="79" t="e">
        <f t="shared" si="1"/>
        <v>#REF!</v>
      </c>
    </row>
    <row r="44" spans="1:48" ht="16.399999999999999" thickBot="1" x14ac:dyDescent="0.35">
      <c r="A44" s="17"/>
      <c r="B44" t="s">
        <v>67</v>
      </c>
      <c r="C44" s="25" t="s">
        <v>63</v>
      </c>
      <c r="D44" s="36" t="e">
        <f>+#REF!</f>
        <v>#REF!</v>
      </c>
      <c r="E44" s="37" t="e">
        <f>+#REF!</f>
        <v>#REF!</v>
      </c>
      <c r="F44" s="37" t="e">
        <f>+#REF!</f>
        <v>#REF!</v>
      </c>
      <c r="G44" s="37" t="e">
        <f>+#REF!</f>
        <v>#REF!</v>
      </c>
      <c r="H44" s="50" t="e">
        <f>+#REF!</f>
        <v>#REF!</v>
      </c>
      <c r="I44" s="50" t="e">
        <f>+#REF!</f>
        <v>#REF!</v>
      </c>
      <c r="J44" s="50" t="e">
        <f>+#REF!</f>
        <v>#REF!</v>
      </c>
      <c r="K44" s="50" t="e">
        <f>+#REF!</f>
        <v>#REF!</v>
      </c>
      <c r="L44" s="50" t="e">
        <f>+#REF!</f>
        <v>#REF!</v>
      </c>
      <c r="M44" s="50" t="e">
        <f>+#REF!</f>
        <v>#REF!</v>
      </c>
      <c r="N44" s="50" t="e">
        <f>+#REF!</f>
        <v>#REF!</v>
      </c>
      <c r="O44" s="50" t="e">
        <f>+#REF!</f>
        <v>#REF!</v>
      </c>
      <c r="P44" s="50" t="e">
        <f>+#REF!</f>
        <v>#REF!</v>
      </c>
      <c r="Q44" s="50" t="e">
        <f>+#REF!</f>
        <v>#REF!</v>
      </c>
      <c r="R44" s="50" t="e">
        <f>+#REF!</f>
        <v>#REF!</v>
      </c>
      <c r="S44" s="50" t="e">
        <f>+#REF!</f>
        <v>#REF!</v>
      </c>
      <c r="T44" s="50" t="e">
        <f>+#REF!</f>
        <v>#REF!</v>
      </c>
      <c r="U44" s="50" t="e">
        <f>+#REF!</f>
        <v>#REF!</v>
      </c>
      <c r="V44" s="50" t="e">
        <f>+#REF!</f>
        <v>#REF!</v>
      </c>
      <c r="W44" s="50" t="e">
        <f>+#REF!</f>
        <v>#REF!</v>
      </c>
      <c r="X44" s="50" t="e">
        <f>+#REF!</f>
        <v>#REF!</v>
      </c>
      <c r="Y44" s="50" t="e">
        <f>+#REF!</f>
        <v>#REF!</v>
      </c>
      <c r="Z44" s="50" t="e">
        <f>+#REF!</f>
        <v>#REF!</v>
      </c>
      <c r="AA44" s="50" t="e">
        <f>+#REF!</f>
        <v>#REF!</v>
      </c>
      <c r="AB44" s="50" t="e">
        <f>+#REF!</f>
        <v>#REF!</v>
      </c>
      <c r="AC44" s="50" t="e">
        <f>+#REF!</f>
        <v>#REF!</v>
      </c>
      <c r="AD44" s="50" t="e">
        <f>+#REF!</f>
        <v>#REF!</v>
      </c>
      <c r="AE44" s="50" t="e">
        <f>+#REF!</f>
        <v>#REF!</v>
      </c>
      <c r="AF44" s="50" t="e">
        <f>+#REF!</f>
        <v>#REF!</v>
      </c>
      <c r="AG44" s="50" t="e">
        <f>+#REF!</f>
        <v>#REF!</v>
      </c>
      <c r="AH44" s="77" t="e">
        <f t="shared" si="0"/>
        <v>#REF!</v>
      </c>
      <c r="AR44" s="36" t="e">
        <f>+#REF!</f>
        <v>#REF!</v>
      </c>
      <c r="AS44" s="37" t="e">
        <f>+#REF!</f>
        <v>#REF!</v>
      </c>
      <c r="AT44" s="37" t="e">
        <f>+#REF!</f>
        <v>#REF!</v>
      </c>
      <c r="AU44" s="37" t="e">
        <f>+#REF!</f>
        <v>#REF!</v>
      </c>
      <c r="AV44" s="79" t="e">
        <f t="shared" si="1"/>
        <v>#REF!</v>
      </c>
    </row>
    <row r="45" spans="1:48" ht="16.399999999999999" thickBot="1" x14ac:dyDescent="0.35">
      <c r="A45" s="17"/>
      <c r="C45" s="32" t="s">
        <v>68</v>
      </c>
      <c r="D45" s="54" t="e">
        <f t="shared" ref="D45" si="13">SUM(D39:D44)</f>
        <v>#REF!</v>
      </c>
      <c r="E45" s="54" t="e">
        <f t="shared" ref="E45" si="14">SUM(E39:E44)</f>
        <v>#REF!</v>
      </c>
      <c r="F45" s="54" t="e">
        <f t="shared" ref="F45" si="15">SUM(F39:F44)</f>
        <v>#REF!</v>
      </c>
      <c r="G45" s="54" t="e">
        <f t="shared" ref="G45" si="16">SUM(G39:G44)</f>
        <v>#REF!</v>
      </c>
      <c r="H45" s="54" t="e">
        <f t="shared" ref="H45" si="17">SUM(H39:H44)</f>
        <v>#REF!</v>
      </c>
      <c r="I45" s="54" t="e">
        <f t="shared" ref="I45" si="18">SUM(I39:I44)</f>
        <v>#REF!</v>
      </c>
      <c r="J45" s="54" t="e">
        <f t="shared" ref="J45" si="19">SUM(J39:J44)</f>
        <v>#REF!</v>
      </c>
      <c r="K45" s="54" t="e">
        <f t="shared" ref="K45" si="20">SUM(K39:K44)</f>
        <v>#REF!</v>
      </c>
      <c r="L45" s="54" t="e">
        <f t="shared" ref="L45" si="21">SUM(L39:L44)</f>
        <v>#REF!</v>
      </c>
      <c r="M45" s="54" t="e">
        <f t="shared" ref="M45" si="22">SUM(M39:M44)</f>
        <v>#REF!</v>
      </c>
      <c r="N45" s="54" t="e">
        <f t="shared" ref="N45" si="23">SUM(N39:N44)</f>
        <v>#REF!</v>
      </c>
      <c r="O45" s="54" t="e">
        <f t="shared" ref="O45" si="24">SUM(O39:O44)</f>
        <v>#REF!</v>
      </c>
      <c r="P45" s="54" t="e">
        <f t="shared" ref="P45" si="25">SUM(P39:P44)</f>
        <v>#REF!</v>
      </c>
      <c r="Q45" s="54" t="e">
        <f t="shared" ref="Q45" si="26">SUM(Q39:Q44)</f>
        <v>#REF!</v>
      </c>
      <c r="R45" s="54" t="e">
        <f t="shared" ref="R45" si="27">SUM(R39:R44)</f>
        <v>#REF!</v>
      </c>
      <c r="S45" s="54" t="e">
        <f t="shared" ref="S45" si="28">SUM(S39:S44)</f>
        <v>#REF!</v>
      </c>
      <c r="T45" s="54" t="e">
        <f t="shared" ref="T45" si="29">SUM(T39:T44)</f>
        <v>#REF!</v>
      </c>
      <c r="U45" s="54" t="e">
        <f t="shared" ref="U45" si="30">SUM(U39:U44)</f>
        <v>#REF!</v>
      </c>
      <c r="V45" s="54" t="e">
        <f t="shared" ref="V45" si="31">SUM(V39:V44)</f>
        <v>#REF!</v>
      </c>
      <c r="W45" s="54" t="e">
        <f t="shared" ref="W45" si="32">SUM(W39:W44)</f>
        <v>#REF!</v>
      </c>
      <c r="X45" s="54" t="e">
        <f t="shared" ref="X45" si="33">SUM(X39:X44)</f>
        <v>#REF!</v>
      </c>
      <c r="Y45" s="54" t="e">
        <f t="shared" ref="Y45" si="34">SUM(Y39:Y44)</f>
        <v>#REF!</v>
      </c>
      <c r="Z45" s="54" t="e">
        <f t="shared" ref="Z45" si="35">SUM(Z39:Z44)</f>
        <v>#REF!</v>
      </c>
      <c r="AA45" s="54" t="e">
        <f t="shared" ref="AA45" si="36">SUM(AA39:AA44)</f>
        <v>#REF!</v>
      </c>
      <c r="AB45" s="54" t="e">
        <f t="shared" ref="AB45" si="37">SUM(AB39:AB44)</f>
        <v>#REF!</v>
      </c>
      <c r="AC45" s="54" t="e">
        <f t="shared" ref="AC45" si="38">SUM(AC39:AC44)</f>
        <v>#REF!</v>
      </c>
      <c r="AD45" s="54" t="e">
        <f t="shared" ref="AD45" si="39">SUM(AD39:AD44)</f>
        <v>#REF!</v>
      </c>
      <c r="AE45" s="54" t="e">
        <f t="shared" ref="AE45" si="40">SUM(AE39:AE44)</f>
        <v>#REF!</v>
      </c>
      <c r="AF45" s="54" t="e">
        <f t="shared" ref="AF45" si="41">SUM(AF39:AF44)</f>
        <v>#REF!</v>
      </c>
      <c r="AG45" s="54" t="e">
        <f t="shared" ref="AG45" si="42">SUM(AG39:AG44)</f>
        <v>#REF!</v>
      </c>
      <c r="AH45" s="77" t="e">
        <f t="shared" si="0"/>
        <v>#REF!</v>
      </c>
      <c r="AR45" s="51" t="e">
        <f t="shared" ref="AR45:AU45" si="43">SUM(AR38:AR44)</f>
        <v>#REF!</v>
      </c>
      <c r="AS45" s="51" t="e">
        <f t="shared" si="43"/>
        <v>#REF!</v>
      </c>
      <c r="AT45" s="51" t="e">
        <f t="shared" si="43"/>
        <v>#REF!</v>
      </c>
      <c r="AU45" s="51" t="e">
        <f t="shared" si="43"/>
        <v>#REF!</v>
      </c>
      <c r="AV45" s="79" t="e">
        <f t="shared" si="1"/>
        <v>#REF!</v>
      </c>
    </row>
    <row r="46" spans="1:48" ht="16.399999999999999" thickBot="1" x14ac:dyDescent="0.35">
      <c r="A46" s="17"/>
      <c r="C46" s="27" t="s">
        <v>69</v>
      </c>
      <c r="D46" s="31" t="e">
        <f>SUM(D23,D38,D45)</f>
        <v>#REF!</v>
      </c>
      <c r="E46" s="27" t="e">
        <f>SUM(E23,E38,E45)</f>
        <v>#REF!</v>
      </c>
      <c r="F46" s="27" t="e">
        <f>SUM(F23,F38,F45)</f>
        <v>#REF!</v>
      </c>
      <c r="G46" s="27" t="e">
        <f>SUM(G23,G38,G45)</f>
        <v>#REF!</v>
      </c>
      <c r="H46" s="27" t="e">
        <f t="shared" ref="H46:AG46" si="44">SUM(H23,H32,H38,H45)</f>
        <v>#REF!</v>
      </c>
      <c r="I46" s="27" t="e">
        <f t="shared" si="44"/>
        <v>#REF!</v>
      </c>
      <c r="J46" s="27" t="e">
        <f t="shared" si="44"/>
        <v>#REF!</v>
      </c>
      <c r="K46" s="27" t="e">
        <f t="shared" si="44"/>
        <v>#REF!</v>
      </c>
      <c r="L46" s="27" t="e">
        <f t="shared" si="44"/>
        <v>#REF!</v>
      </c>
      <c r="M46" s="27" t="e">
        <f t="shared" si="44"/>
        <v>#REF!</v>
      </c>
      <c r="N46" s="27" t="e">
        <f t="shared" si="44"/>
        <v>#REF!</v>
      </c>
      <c r="O46" s="27" t="e">
        <f t="shared" si="44"/>
        <v>#REF!</v>
      </c>
      <c r="P46" s="27" t="e">
        <f t="shared" si="44"/>
        <v>#REF!</v>
      </c>
      <c r="Q46" s="27" t="e">
        <f t="shared" si="44"/>
        <v>#REF!</v>
      </c>
      <c r="R46" s="27" t="e">
        <f t="shared" si="44"/>
        <v>#REF!</v>
      </c>
      <c r="S46" s="27" t="e">
        <f t="shared" si="44"/>
        <v>#REF!</v>
      </c>
      <c r="T46" s="27" t="e">
        <f t="shared" si="44"/>
        <v>#REF!</v>
      </c>
      <c r="U46" s="27" t="e">
        <f t="shared" si="44"/>
        <v>#REF!</v>
      </c>
      <c r="V46" s="27" t="e">
        <f t="shared" si="44"/>
        <v>#REF!</v>
      </c>
      <c r="W46" s="27" t="e">
        <f t="shared" si="44"/>
        <v>#REF!</v>
      </c>
      <c r="X46" s="27" t="e">
        <f t="shared" si="44"/>
        <v>#REF!</v>
      </c>
      <c r="Y46" s="27" t="e">
        <f t="shared" si="44"/>
        <v>#REF!</v>
      </c>
      <c r="Z46" s="27" t="e">
        <f t="shared" si="44"/>
        <v>#REF!</v>
      </c>
      <c r="AA46" s="27" t="e">
        <f t="shared" si="44"/>
        <v>#REF!</v>
      </c>
      <c r="AB46" s="27" t="e">
        <f t="shared" si="44"/>
        <v>#REF!</v>
      </c>
      <c r="AC46" s="27" t="e">
        <f t="shared" si="44"/>
        <v>#REF!</v>
      </c>
      <c r="AD46" s="27" t="e">
        <f t="shared" si="44"/>
        <v>#REF!</v>
      </c>
      <c r="AE46" s="27" t="e">
        <f t="shared" si="44"/>
        <v>#REF!</v>
      </c>
      <c r="AF46" s="27" t="e">
        <f t="shared" si="44"/>
        <v>#REF!</v>
      </c>
      <c r="AG46" s="27" t="e">
        <f t="shared" si="44"/>
        <v>#REF!</v>
      </c>
      <c r="AH46" s="77" t="e">
        <f t="shared" si="0"/>
        <v>#REF!</v>
      </c>
      <c r="AR46" s="31" t="e">
        <f>SUM(AR23,AR38,AR45)</f>
        <v>#REF!</v>
      </c>
      <c r="AS46" s="27" t="e">
        <f>SUM(AS23,AS38,AS45)</f>
        <v>#REF!</v>
      </c>
      <c r="AT46" s="27" t="e">
        <f>SUM(AT23,AT38,AT45)</f>
        <v>#REF!</v>
      </c>
      <c r="AU46" s="27" t="e">
        <f>SUM(AU23,AU38,AU45)</f>
        <v>#REF!</v>
      </c>
      <c r="AV46" s="79" t="e">
        <f t="shared" si="1"/>
        <v>#REF!</v>
      </c>
    </row>
    <row r="47" spans="1:48" x14ac:dyDescent="0.3">
      <c r="A47" s="17"/>
    </row>
    <row r="48" spans="1:48" x14ac:dyDescent="0.3">
      <c r="A48" s="17"/>
      <c r="M48" s="14" t="e">
        <f>+M46-H46</f>
        <v>#REF!</v>
      </c>
    </row>
    <row r="49" spans="1:28" x14ac:dyDescent="0.3">
      <c r="A49" s="17"/>
      <c r="H49" s="78"/>
      <c r="AB49" s="78"/>
    </row>
    <row r="50" spans="1:28" x14ac:dyDescent="0.3">
      <c r="A50" s="17"/>
    </row>
    <row r="51" spans="1:28" x14ac:dyDescent="0.3">
      <c r="A51" s="17"/>
      <c r="R51" s="78"/>
    </row>
    <row r="52" spans="1:28" x14ac:dyDescent="0.3">
      <c r="A52" s="17"/>
    </row>
    <row r="53" spans="1:28" x14ac:dyDescent="0.3">
      <c r="A53" s="17"/>
    </row>
    <row r="54" spans="1:28" x14ac:dyDescent="0.3">
      <c r="A54" s="17"/>
    </row>
    <row r="55" spans="1:28" x14ac:dyDescent="0.3">
      <c r="A55" s="17"/>
    </row>
    <row r="56" spans="1:28" x14ac:dyDescent="0.3">
      <c r="A56" s="17"/>
    </row>
    <row r="57" spans="1:28" x14ac:dyDescent="0.3">
      <c r="A57" s="17"/>
    </row>
    <row r="58" spans="1:28" x14ac:dyDescent="0.3">
      <c r="A58" s="17"/>
    </row>
    <row r="59" spans="1:28" x14ac:dyDescent="0.3">
      <c r="A59" s="17"/>
    </row>
    <row r="60" spans="1:28" x14ac:dyDescent="0.3">
      <c r="A60" s="17"/>
    </row>
    <row r="61" spans="1:28" x14ac:dyDescent="0.3">
      <c r="A61" s="17"/>
    </row>
    <row r="62" spans="1:28" x14ac:dyDescent="0.3">
      <c r="A62" s="17"/>
    </row>
    <row r="63" spans="1:28" x14ac:dyDescent="0.3">
      <c r="A63" s="17"/>
    </row>
    <row r="64" spans="1:28" x14ac:dyDescent="0.3">
      <c r="A64" s="17"/>
    </row>
    <row r="65" spans="1:1" x14ac:dyDescent="0.3">
      <c r="A65" s="17"/>
    </row>
    <row r="66" spans="1:1" x14ac:dyDescent="0.3">
      <c r="A66" s="17"/>
    </row>
    <row r="67" spans="1:1" x14ac:dyDescent="0.3">
      <c r="A67" s="17"/>
    </row>
    <row r="68" spans="1:1" x14ac:dyDescent="0.3">
      <c r="A68" s="17"/>
    </row>
    <row r="69" spans="1:1" x14ac:dyDescent="0.3">
      <c r="A69" s="17"/>
    </row>
    <row r="70" spans="1:1" x14ac:dyDescent="0.3">
      <c r="A70" s="17"/>
    </row>
    <row r="71" spans="1:1" x14ac:dyDescent="0.3">
      <c r="A71" s="17"/>
    </row>
    <row r="72" spans="1:1" x14ac:dyDescent="0.3">
      <c r="A72" s="17"/>
    </row>
    <row r="73" spans="1:1" x14ac:dyDescent="0.3">
      <c r="A73" s="17"/>
    </row>
    <row r="74" spans="1:1" x14ac:dyDescent="0.3">
      <c r="A74" s="17"/>
    </row>
    <row r="75" spans="1:1" x14ac:dyDescent="0.3">
      <c r="A75" s="17"/>
    </row>
    <row r="76" spans="1:1" x14ac:dyDescent="0.3">
      <c r="A76" s="17"/>
    </row>
    <row r="77" spans="1:1" x14ac:dyDescent="0.3">
      <c r="A77" s="17"/>
    </row>
    <row r="78" spans="1:1" x14ac:dyDescent="0.3">
      <c r="A78" s="17"/>
    </row>
    <row r="79" spans="1:1" x14ac:dyDescent="0.3">
      <c r="A79" s="17"/>
    </row>
    <row r="80" spans="1:1" x14ac:dyDescent="0.3">
      <c r="A80" s="17"/>
    </row>
    <row r="81" spans="1:1" x14ac:dyDescent="0.3">
      <c r="A81" s="17"/>
    </row>
    <row r="82" spans="1:1" x14ac:dyDescent="0.3">
      <c r="A82" s="17"/>
    </row>
    <row r="83" spans="1:1" x14ac:dyDescent="0.3">
      <c r="A83" s="17"/>
    </row>
    <row r="84" spans="1:1" x14ac:dyDescent="0.3">
      <c r="A84" s="17"/>
    </row>
    <row r="85" spans="1:1" x14ac:dyDescent="0.3">
      <c r="A85" s="17"/>
    </row>
    <row r="86" spans="1:1" x14ac:dyDescent="0.3">
      <c r="A86" s="17"/>
    </row>
    <row r="87" spans="1:1" x14ac:dyDescent="0.3">
      <c r="A87" s="17"/>
    </row>
    <row r="88" spans="1:1" x14ac:dyDescent="0.3">
      <c r="A88" s="17"/>
    </row>
    <row r="89" spans="1:1" x14ac:dyDescent="0.3">
      <c r="A89" s="17"/>
    </row>
    <row r="90" spans="1:1" x14ac:dyDescent="0.3">
      <c r="A90" s="17"/>
    </row>
    <row r="91" spans="1:1" x14ac:dyDescent="0.3">
      <c r="A91" s="17"/>
    </row>
    <row r="92" spans="1:1" x14ac:dyDescent="0.3">
      <c r="A92" s="17"/>
    </row>
    <row r="93" spans="1:1" x14ac:dyDescent="0.3">
      <c r="A93" s="17"/>
    </row>
    <row r="94" spans="1:1" x14ac:dyDescent="0.3">
      <c r="A94" s="17"/>
    </row>
    <row r="95" spans="1:1" x14ac:dyDescent="0.3">
      <c r="A95" s="17"/>
    </row>
    <row r="96" spans="1:1" x14ac:dyDescent="0.3">
      <c r="A96" s="17"/>
    </row>
    <row r="97" spans="1:1" x14ac:dyDescent="0.3">
      <c r="A97" s="17"/>
    </row>
    <row r="98" spans="1:1" x14ac:dyDescent="0.3">
      <c r="A98" s="17"/>
    </row>
    <row r="99" spans="1:1" x14ac:dyDescent="0.3">
      <c r="A99" s="17"/>
    </row>
    <row r="100" spans="1:1" x14ac:dyDescent="0.3">
      <c r="A100" s="17"/>
    </row>
    <row r="101" spans="1:1" x14ac:dyDescent="0.3">
      <c r="A101" s="17"/>
    </row>
    <row r="102" spans="1:1" x14ac:dyDescent="0.3">
      <c r="A102" s="17"/>
    </row>
    <row r="103" spans="1:1" x14ac:dyDescent="0.3">
      <c r="A103" s="17"/>
    </row>
    <row r="104" spans="1:1" x14ac:dyDescent="0.3">
      <c r="A104" s="17"/>
    </row>
    <row r="105" spans="1:1" x14ac:dyDescent="0.3">
      <c r="A105" s="17"/>
    </row>
    <row r="106" spans="1:1" x14ac:dyDescent="0.3">
      <c r="A106" s="17"/>
    </row>
    <row r="107" spans="1:1" x14ac:dyDescent="0.3">
      <c r="A107" s="17"/>
    </row>
    <row r="108" spans="1:1" x14ac:dyDescent="0.3">
      <c r="A108" s="17"/>
    </row>
    <row r="109" spans="1:1" x14ac:dyDescent="0.3">
      <c r="A109" s="17"/>
    </row>
    <row r="110" spans="1:1" x14ac:dyDescent="0.3">
      <c r="A110" s="17"/>
    </row>
    <row r="111" spans="1:1" x14ac:dyDescent="0.3">
      <c r="A111" s="17"/>
    </row>
    <row r="112" spans="1:1" x14ac:dyDescent="0.3">
      <c r="A112" s="17"/>
    </row>
    <row r="113" spans="1:46" x14ac:dyDescent="0.3">
      <c r="A113" s="17"/>
    </row>
    <row r="116" spans="1:46" x14ac:dyDescent="0.3">
      <c r="AT116">
        <f>+AQ116</f>
        <v>0</v>
      </c>
    </row>
    <row r="117" spans="1:46" x14ac:dyDescent="0.3">
      <c r="AT117">
        <f t="shared" ref="AT117:AT131" si="45">+AQ117</f>
        <v>0</v>
      </c>
    </row>
    <row r="118" spans="1:46" x14ac:dyDescent="0.3">
      <c r="AT118">
        <f t="shared" si="45"/>
        <v>0</v>
      </c>
    </row>
    <row r="119" spans="1:46" x14ac:dyDescent="0.3">
      <c r="AT119">
        <f t="shared" si="45"/>
        <v>0</v>
      </c>
    </row>
    <row r="120" spans="1:46" x14ac:dyDescent="0.3">
      <c r="AT120">
        <f t="shared" si="45"/>
        <v>0</v>
      </c>
    </row>
    <row r="121" spans="1:46" x14ac:dyDescent="0.3">
      <c r="AT121">
        <f t="shared" si="45"/>
        <v>0</v>
      </c>
    </row>
    <row r="122" spans="1:46" x14ac:dyDescent="0.3">
      <c r="AT122">
        <f t="shared" si="45"/>
        <v>0</v>
      </c>
    </row>
    <row r="123" spans="1:46" x14ac:dyDescent="0.3">
      <c r="AT123">
        <f t="shared" si="45"/>
        <v>0</v>
      </c>
    </row>
    <row r="124" spans="1:46" x14ac:dyDescent="0.3">
      <c r="AT124">
        <f t="shared" si="45"/>
        <v>0</v>
      </c>
    </row>
    <row r="125" spans="1:46" x14ac:dyDescent="0.3">
      <c r="AT125">
        <f t="shared" si="45"/>
        <v>0</v>
      </c>
    </row>
    <row r="126" spans="1:46" x14ac:dyDescent="0.3">
      <c r="AT126">
        <f t="shared" si="45"/>
        <v>0</v>
      </c>
    </row>
    <row r="127" spans="1:46" x14ac:dyDescent="0.3">
      <c r="AT127">
        <f t="shared" si="45"/>
        <v>0</v>
      </c>
    </row>
    <row r="128" spans="1:46" x14ac:dyDescent="0.3">
      <c r="AT128">
        <f t="shared" si="45"/>
        <v>0</v>
      </c>
    </row>
    <row r="129" spans="46:46" x14ac:dyDescent="0.3">
      <c r="AT129">
        <f t="shared" si="45"/>
        <v>0</v>
      </c>
    </row>
    <row r="130" spans="46:46" x14ac:dyDescent="0.3">
      <c r="AT130">
        <f t="shared" si="45"/>
        <v>0</v>
      </c>
    </row>
    <row r="131" spans="46:46" x14ac:dyDescent="0.3">
      <c r="AT131">
        <f t="shared" si="45"/>
        <v>0</v>
      </c>
    </row>
  </sheetData>
  <autoFilter ref="A10:AO10" xr:uid="{00000000-0009-0000-0000-00001A000000}"/>
  <mergeCells count="13">
    <mergeCell ref="AR9:AU9"/>
    <mergeCell ref="AC6:AF6"/>
    <mergeCell ref="D6:G6"/>
    <mergeCell ref="I6:L6"/>
    <mergeCell ref="N6:Q6"/>
    <mergeCell ref="S6:V6"/>
    <mergeCell ref="X6:AA6"/>
    <mergeCell ref="AC7:AF7"/>
    <mergeCell ref="D7:G7"/>
    <mergeCell ref="I7:L7"/>
    <mergeCell ref="N7:Q7"/>
    <mergeCell ref="S7:V7"/>
    <mergeCell ref="X7:AA7"/>
  </mergeCells>
  <conditionalFormatting sqref="H12:H13 E18:G18 I18:AG18 H18:H22 M19:M22 R19:R22 W19:W22 AB19:AB22 AG19:AG22 M24:M28 R24:R28 W24:W28 AB24:AB28 AG24:AG28 H24:H31 I29:AG29 H39:H44 H46">
    <cfRule type="cellIs" dxfId="13" priority="18" operator="equal">
      <formula>0</formula>
    </cfRule>
  </conditionalFormatting>
  <conditionalFormatting sqref="H33:H37 M33:M37 R33:R37 W33:W37 AB33:AB37 AG33:AG37">
    <cfRule type="cellIs" dxfId="12" priority="1" operator="equal">
      <formula>0</formula>
    </cfRule>
  </conditionalFormatting>
  <conditionalFormatting sqref="M12:M17">
    <cfRule type="cellIs" dxfId="11" priority="7" operator="equal">
      <formula>0</formula>
    </cfRule>
  </conditionalFormatting>
  <conditionalFormatting sqref="M30:M31 M39:M44 M46">
    <cfRule type="cellIs" dxfId="10" priority="17" operator="equal">
      <formula>0</formula>
    </cfRule>
  </conditionalFormatting>
  <conditionalFormatting sqref="R12:R17 R30:R31 R39:R44 R46">
    <cfRule type="cellIs" dxfId="9" priority="16" operator="equal">
      <formula>0</formula>
    </cfRule>
  </conditionalFormatting>
  <conditionalFormatting sqref="W12:W17">
    <cfRule type="cellIs" dxfId="8" priority="6" operator="equal">
      <formula>0</formula>
    </cfRule>
  </conditionalFormatting>
  <conditionalFormatting sqref="W30:W31 W39:W44 W46">
    <cfRule type="cellIs" dxfId="7" priority="15" operator="equal">
      <formula>0</formula>
    </cfRule>
  </conditionalFormatting>
  <conditionalFormatting sqref="AB12:AB17">
    <cfRule type="cellIs" dxfId="6" priority="5" operator="equal">
      <formula>0</formula>
    </cfRule>
  </conditionalFormatting>
  <conditionalFormatting sqref="AB30:AB31 AB39:AB44 AB46">
    <cfRule type="cellIs" dxfId="5" priority="14" operator="equal">
      <formula>0</formula>
    </cfRule>
  </conditionalFormatting>
  <conditionalFormatting sqref="AG12:AG17">
    <cfRule type="cellIs" dxfId="4" priority="4" operator="equal">
      <formula>0</formula>
    </cfRule>
  </conditionalFormatting>
  <conditionalFormatting sqref="AG30:AG31 AG39:AG44 AG46">
    <cfRule type="cellIs" dxfId="3" priority="13" operator="equal">
      <formula>0</formula>
    </cfRule>
  </conditionalFormatting>
  <conditionalFormatting sqref="AR18:AU18">
    <cfRule type="cellIs" dxfId="2" priority="12" operator="equal">
      <formula>0</formula>
    </cfRule>
  </conditionalFormatting>
  <conditionalFormatting sqref="AR38:AU38">
    <cfRule type="cellIs" dxfId="1" priority="11" operator="equal">
      <formula>0</formula>
    </cfRule>
  </conditionalFormatting>
  <conditionalFormatting sqref="AR45:AU45">
    <cfRule type="cellIs" dxfId="0" priority="9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EB4D-628E-4D8C-BB9F-6BD582DB7FB8}">
  <sheetPr>
    <tabColor theme="5" tint="0.59999389629810485"/>
  </sheetPr>
  <dimension ref="A1:M442"/>
  <sheetViews>
    <sheetView view="pageBreakPreview" zoomScale="60" zoomScaleNormal="100" workbookViewId="0">
      <selection activeCell="I3" sqref="I3"/>
    </sheetView>
  </sheetViews>
  <sheetFormatPr baseColWidth="10" defaultColWidth="11.5546875" defaultRowHeight="15.05" x14ac:dyDescent="0.25"/>
  <cols>
    <col min="1" max="1" width="3.44140625" style="86" customWidth="1"/>
    <col min="2" max="2" width="24.109375" style="86" customWidth="1"/>
    <col min="3" max="3" width="23.6640625" style="86" customWidth="1"/>
    <col min="4" max="4" width="22.33203125" style="86" bestFit="1" customWidth="1"/>
    <col min="5" max="5" width="20.33203125" style="86" customWidth="1"/>
    <col min="6" max="8" width="23.6640625" style="86" customWidth="1"/>
    <col min="9" max="9" width="73.6640625" style="86" bestFit="1" customWidth="1"/>
    <col min="10" max="10" width="11.5546875" style="86"/>
    <col min="11" max="11" width="16.6640625" style="86" bestFit="1" customWidth="1"/>
    <col min="12" max="12" width="11.5546875" style="86" customWidth="1"/>
    <col min="13" max="16384" width="11.5546875" style="86"/>
  </cols>
  <sheetData>
    <row r="1" spans="1:13" x14ac:dyDescent="0.25">
      <c r="B1" s="121"/>
    </row>
    <row r="2" spans="1:13" ht="15.75" thickBot="1" x14ac:dyDescent="0.3">
      <c r="H2" s="104" t="s">
        <v>166</v>
      </c>
      <c r="I2" s="95" t="s">
        <v>88</v>
      </c>
      <c r="K2" s="86" t="s">
        <v>27</v>
      </c>
      <c r="M2" s="86" t="s">
        <v>139</v>
      </c>
    </row>
    <row r="3" spans="1:13" ht="23.6" thickBot="1" x14ac:dyDescent="0.3">
      <c r="B3" s="209" t="s">
        <v>137</v>
      </c>
      <c r="C3" s="200" t="s">
        <v>89</v>
      </c>
      <c r="D3" s="200"/>
      <c r="E3" s="201" t="s">
        <v>90</v>
      </c>
      <c r="F3" s="201"/>
      <c r="G3" s="137" t="s">
        <v>23</v>
      </c>
      <c r="H3" s="104" t="s">
        <v>172</v>
      </c>
      <c r="I3" s="108" t="str">
        <f>+VLOOKUP($G3,$K$2:$M$15,2,FALSE)&amp;$H$3&amp;$H$2</f>
        <v>124CER</v>
      </c>
      <c r="K3" s="107" t="s">
        <v>23</v>
      </c>
      <c r="L3" s="115">
        <v>1</v>
      </c>
      <c r="M3" s="115" t="s">
        <v>140</v>
      </c>
    </row>
    <row r="4" spans="1:13" ht="25.2" customHeight="1" thickBot="1" x14ac:dyDescent="0.3">
      <c r="B4" s="210"/>
      <c r="C4" s="202"/>
      <c r="D4" s="202"/>
      <c r="E4" s="203" t="str">
        <f>+$F$7&amp;"-"&amp;$I3&amp;"-"&amp;2025</f>
        <v>170AC-124CER-2025</v>
      </c>
      <c r="F4" s="203"/>
      <c r="G4" s="138">
        <f>+VLOOKUP($G3,$K$2:$M$15,2,FALSE)</f>
        <v>1</v>
      </c>
      <c r="H4" s="97"/>
      <c r="K4" s="107" t="s">
        <v>17</v>
      </c>
      <c r="L4" s="115">
        <v>2</v>
      </c>
      <c r="M4" s="115" t="s">
        <v>141</v>
      </c>
    </row>
    <row r="5" spans="1:13" ht="15.75" thickBot="1" x14ac:dyDescent="0.3">
      <c r="K5" s="107" t="s">
        <v>9</v>
      </c>
      <c r="L5" s="115">
        <v>3</v>
      </c>
      <c r="M5" s="115" t="s">
        <v>142</v>
      </c>
    </row>
    <row r="6" spans="1:13" ht="15.75" thickBot="1" x14ac:dyDescent="0.3">
      <c r="A6" s="189" t="s">
        <v>91</v>
      </c>
      <c r="B6" s="189"/>
      <c r="C6" s="189"/>
      <c r="D6" s="189"/>
      <c r="E6" s="189"/>
      <c r="F6" s="189"/>
      <c r="G6" s="98"/>
      <c r="H6" s="91" t="s">
        <v>107</v>
      </c>
      <c r="I6" s="106" t="s">
        <v>157</v>
      </c>
      <c r="K6" s="107" t="s">
        <v>14</v>
      </c>
      <c r="L6" s="115">
        <v>4</v>
      </c>
      <c r="M6" s="115" t="s">
        <v>143</v>
      </c>
    </row>
    <row r="7" spans="1:13" ht="29.95" customHeight="1" x14ac:dyDescent="0.25">
      <c r="B7" s="87" t="s">
        <v>92</v>
      </c>
      <c r="C7" s="204" t="s">
        <v>135</v>
      </c>
      <c r="D7" s="204"/>
      <c r="E7" s="87" t="s">
        <v>93</v>
      </c>
      <c r="F7" s="88" t="s">
        <v>138</v>
      </c>
      <c r="H7" s="91" t="s">
        <v>107</v>
      </c>
      <c r="I7" s="95">
        <f>+SUMIF($B$7:$B$442,$H$7,$E$7:$E$442)</f>
        <v>0</v>
      </c>
      <c r="K7" s="107" t="s">
        <v>21</v>
      </c>
      <c r="L7" s="115">
        <v>5</v>
      </c>
      <c r="M7" s="115" t="s">
        <v>144</v>
      </c>
    </row>
    <row r="8" spans="1:13" ht="29.95" customHeight="1" x14ac:dyDescent="0.25">
      <c r="B8" s="87" t="s">
        <v>94</v>
      </c>
      <c r="C8" s="204" t="s">
        <v>124</v>
      </c>
      <c r="D8" s="204"/>
      <c r="E8" s="87" t="s">
        <v>95</v>
      </c>
      <c r="F8" s="88" t="s">
        <v>23</v>
      </c>
      <c r="K8" s="107" t="s">
        <v>20</v>
      </c>
      <c r="L8" s="115">
        <v>6</v>
      </c>
      <c r="M8" s="115" t="s">
        <v>145</v>
      </c>
    </row>
    <row r="9" spans="1:13" ht="29.95" customHeight="1" x14ac:dyDescent="0.25">
      <c r="B9" s="87" t="s">
        <v>96</v>
      </c>
      <c r="C9" s="208" t="s">
        <v>136</v>
      </c>
      <c r="D9" s="208"/>
      <c r="E9" s="87" t="s">
        <v>97</v>
      </c>
      <c r="F9" s="114" t="s">
        <v>125</v>
      </c>
      <c r="K9" s="107" t="s">
        <v>67</v>
      </c>
      <c r="L9" s="115">
        <v>7</v>
      </c>
      <c r="M9" s="115" t="s">
        <v>146</v>
      </c>
    </row>
    <row r="10" spans="1:13" ht="29.95" customHeight="1" x14ac:dyDescent="0.25">
      <c r="B10" s="87" t="s">
        <v>98</v>
      </c>
      <c r="C10" s="191"/>
      <c r="D10" s="191"/>
      <c r="E10" s="87" t="s">
        <v>99</v>
      </c>
      <c r="F10" s="110"/>
      <c r="K10" s="107" t="s">
        <v>32</v>
      </c>
      <c r="L10" s="115">
        <v>8</v>
      </c>
      <c r="M10" s="115" t="s">
        <v>147</v>
      </c>
    </row>
    <row r="11" spans="1:13" x14ac:dyDescent="0.25">
      <c r="I11" s="105"/>
      <c r="K11" s="107" t="s">
        <v>33</v>
      </c>
      <c r="L11" s="115">
        <v>9</v>
      </c>
      <c r="M11" s="115" t="s">
        <v>148</v>
      </c>
    </row>
    <row r="12" spans="1:13" x14ac:dyDescent="0.25">
      <c r="K12" s="107" t="s">
        <v>38</v>
      </c>
      <c r="L12" s="115">
        <v>10</v>
      </c>
      <c r="M12" s="115" t="s">
        <v>149</v>
      </c>
    </row>
    <row r="13" spans="1:13" x14ac:dyDescent="0.25">
      <c r="A13" s="189" t="s">
        <v>100</v>
      </c>
      <c r="B13" s="189"/>
      <c r="C13" s="189"/>
      <c r="D13" s="189"/>
      <c r="E13" s="192"/>
      <c r="F13" s="192"/>
      <c r="G13" s="98"/>
      <c r="H13" s="98"/>
      <c r="K13" s="107" t="s">
        <v>43</v>
      </c>
      <c r="L13" s="115">
        <v>11</v>
      </c>
      <c r="M13" s="115" t="s">
        <v>150</v>
      </c>
    </row>
    <row r="14" spans="1:13" ht="30.15" x14ac:dyDescent="0.25">
      <c r="A14" s="87" t="s">
        <v>101</v>
      </c>
      <c r="B14" s="89" t="s">
        <v>102</v>
      </c>
      <c r="C14" s="89" t="s">
        <v>103</v>
      </c>
      <c r="D14" s="89" t="s">
        <v>104</v>
      </c>
      <c r="E14" s="89" t="s">
        <v>105</v>
      </c>
      <c r="F14" s="89" t="s">
        <v>106</v>
      </c>
      <c r="G14" s="99"/>
      <c r="H14" s="99"/>
      <c r="K14" s="107" t="s">
        <v>45</v>
      </c>
      <c r="L14" s="115">
        <v>12</v>
      </c>
      <c r="M14" s="115" t="s">
        <v>155</v>
      </c>
    </row>
    <row r="15" spans="1:13" ht="20.149999999999999" customHeight="1" x14ac:dyDescent="0.25">
      <c r="A15" s="90">
        <v>1</v>
      </c>
      <c r="B15" s="91" t="s">
        <v>107</v>
      </c>
      <c r="C15" s="88" t="str">
        <f>+$I$6</f>
        <v>CERDO</v>
      </c>
      <c r="D15" s="91"/>
      <c r="E15" s="88">
        <f>+VLOOKUP($G4,CÁRNICOS!$BW$85:$CA$103,3,FALSE)</f>
        <v>0</v>
      </c>
      <c r="F15" s="91"/>
      <c r="G15" s="100"/>
      <c r="H15" s="100"/>
      <c r="K15" s="107" t="s">
        <v>151</v>
      </c>
      <c r="L15" s="115">
        <v>13</v>
      </c>
      <c r="M15" s="115" t="s">
        <v>152</v>
      </c>
    </row>
    <row r="16" spans="1:13" ht="20.149999999999999" customHeight="1" x14ac:dyDescent="0.25">
      <c r="A16" s="90">
        <v>2</v>
      </c>
      <c r="B16" s="91" t="s">
        <v>108</v>
      </c>
      <c r="C16" s="91"/>
      <c r="D16" s="91"/>
      <c r="E16" s="91"/>
      <c r="F16" s="91"/>
      <c r="G16" s="100"/>
      <c r="H16" s="100"/>
    </row>
    <row r="18" spans="1:8" x14ac:dyDescent="0.25">
      <c r="A18" s="189" t="s">
        <v>109</v>
      </c>
      <c r="B18" s="189"/>
      <c r="C18" s="189"/>
      <c r="D18" s="189"/>
      <c r="E18" s="192"/>
      <c r="F18" s="192"/>
      <c r="G18" s="98"/>
      <c r="H18" s="98"/>
    </row>
    <row r="19" spans="1:8" ht="25.2" customHeight="1" x14ac:dyDescent="0.25">
      <c r="B19" s="87" t="s">
        <v>110</v>
      </c>
      <c r="C19" s="92"/>
      <c r="D19" s="87" t="s">
        <v>111</v>
      </c>
      <c r="E19" s="206"/>
      <c r="F19" s="206"/>
      <c r="G19" s="101"/>
      <c r="H19" s="101"/>
    </row>
    <row r="20" spans="1:8" ht="25.2" customHeight="1" x14ac:dyDescent="0.25">
      <c r="B20" s="87" t="s">
        <v>112</v>
      </c>
      <c r="C20" s="92"/>
      <c r="D20" s="87" t="s">
        <v>113</v>
      </c>
      <c r="E20" s="206"/>
      <c r="F20" s="206"/>
      <c r="G20" s="101"/>
      <c r="H20" s="101"/>
    </row>
    <row r="21" spans="1:8" ht="25.2" customHeight="1" x14ac:dyDescent="0.25">
      <c r="D21" s="87" t="s">
        <v>97</v>
      </c>
      <c r="E21" s="207"/>
      <c r="F21" s="207"/>
      <c r="G21" s="102"/>
      <c r="H21" s="102"/>
    </row>
    <row r="22" spans="1:8" ht="25.2" customHeight="1" x14ac:dyDescent="0.25">
      <c r="B22" s="87" t="s">
        <v>114</v>
      </c>
      <c r="C22" s="191"/>
      <c r="D22" s="191"/>
      <c r="E22" s="93" t="s">
        <v>115</v>
      </c>
      <c r="F22" s="113"/>
    </row>
    <row r="24" spans="1:8" x14ac:dyDescent="0.25">
      <c r="A24" s="189" t="s">
        <v>116</v>
      </c>
      <c r="B24" s="189"/>
      <c r="C24" s="189"/>
      <c r="D24" s="189"/>
      <c r="E24" s="189"/>
      <c r="F24" s="189"/>
      <c r="G24" s="98"/>
      <c r="H24" s="98"/>
    </row>
    <row r="25" spans="1:8" ht="25.2" customHeight="1" x14ac:dyDescent="0.25">
      <c r="B25" s="93" t="s">
        <v>94</v>
      </c>
      <c r="C25" s="96" t="s">
        <v>124</v>
      </c>
      <c r="D25" s="87" t="s">
        <v>117</v>
      </c>
      <c r="E25" s="190"/>
      <c r="F25" s="190"/>
      <c r="G25" s="103"/>
      <c r="H25" s="103"/>
    </row>
    <row r="26" spans="1:8" ht="25.2" customHeight="1" x14ac:dyDescent="0.25">
      <c r="B26" s="93" t="s">
        <v>95</v>
      </c>
      <c r="C26" s="111" t="str">
        <f>+$G3</f>
        <v>LA DORADA</v>
      </c>
      <c r="D26" s="87" t="s">
        <v>118</v>
      </c>
      <c r="E26" s="190"/>
      <c r="F26" s="190"/>
      <c r="G26" s="103"/>
      <c r="H26" s="103"/>
    </row>
    <row r="27" spans="1:8" ht="25.2" customHeight="1" x14ac:dyDescent="0.25">
      <c r="B27" s="93" t="s">
        <v>119</v>
      </c>
      <c r="C27" s="112"/>
      <c r="D27" s="87" t="s">
        <v>153</v>
      </c>
      <c r="E27" s="205" t="str">
        <f>+VLOOKUP($G3,$K$2:$M$15,3,FALSE)</f>
        <v>CRA 11 # 17-19 EL CABRERO</v>
      </c>
      <c r="F27" s="205"/>
    </row>
    <row r="28" spans="1:8" ht="25.2" customHeight="1" x14ac:dyDescent="0.25">
      <c r="B28" s="93" t="s">
        <v>120</v>
      </c>
      <c r="C28" s="112"/>
    </row>
    <row r="30" spans="1:8" x14ac:dyDescent="0.25">
      <c r="A30" s="189" t="s">
        <v>121</v>
      </c>
      <c r="B30" s="189"/>
      <c r="C30" s="192"/>
      <c r="D30" s="192"/>
      <c r="E30" s="192"/>
      <c r="F30" s="189"/>
      <c r="G30" s="98"/>
      <c r="H30" s="98"/>
    </row>
    <row r="31" spans="1:8" ht="25.2" customHeight="1" x14ac:dyDescent="0.25">
      <c r="B31" s="93" t="s">
        <v>158</v>
      </c>
      <c r="C31" s="193" t="s">
        <v>171</v>
      </c>
      <c r="D31" s="194"/>
      <c r="E31" s="195"/>
    </row>
    <row r="32" spans="1:8" ht="25.2" customHeight="1" x14ac:dyDescent="0.25">
      <c r="B32" s="87" t="s">
        <v>113</v>
      </c>
      <c r="C32" s="199">
        <v>1298501</v>
      </c>
      <c r="D32" s="194"/>
      <c r="E32" s="195"/>
    </row>
    <row r="33" spans="1:9" ht="25.2" customHeight="1" x14ac:dyDescent="0.25">
      <c r="B33" s="87" t="s">
        <v>122</v>
      </c>
      <c r="C33" s="193" t="s">
        <v>159</v>
      </c>
      <c r="D33" s="194"/>
      <c r="E33" s="195"/>
    </row>
    <row r="34" spans="1:9" ht="25.2" customHeight="1" x14ac:dyDescent="0.25">
      <c r="B34" s="87" t="s">
        <v>123</v>
      </c>
      <c r="C34" s="196"/>
      <c r="D34" s="197"/>
      <c r="E34" s="198"/>
    </row>
    <row r="36" spans="1:9" ht="15.75" thickBot="1" x14ac:dyDescent="0.3">
      <c r="I36" s="95" t="s">
        <v>88</v>
      </c>
    </row>
    <row r="37" spans="1:9" ht="23.4" customHeight="1" thickBot="1" x14ac:dyDescent="0.3">
      <c r="B37" s="209" t="str">
        <f>+$B$3</f>
        <v>CÓDIGO INVIMA: 170AC</v>
      </c>
      <c r="C37" s="200" t="s">
        <v>89</v>
      </c>
      <c r="D37" s="200"/>
      <c r="E37" s="201" t="s">
        <v>90</v>
      </c>
      <c r="F37" s="201"/>
      <c r="G37" s="94" t="s">
        <v>17</v>
      </c>
      <c r="H37" s="109" t="str">
        <f>+$H$3</f>
        <v>24</v>
      </c>
      <c r="I37" s="108" t="str">
        <f>+VLOOKUP($G37,$K$2:$M$15,2,FALSE)&amp;$H$3&amp;$H$2</f>
        <v>224CER</v>
      </c>
    </row>
    <row r="38" spans="1:9" ht="25.2" customHeight="1" thickBot="1" x14ac:dyDescent="0.3">
      <c r="B38" s="210"/>
      <c r="C38" s="202"/>
      <c r="D38" s="202"/>
      <c r="E38" s="203" t="str">
        <f>+$F$7&amp;"-"&amp;$I37&amp;"-"&amp;2025</f>
        <v>170AC-224CER-2025</v>
      </c>
      <c r="F38" s="203"/>
      <c r="G38" s="138">
        <f>+VLOOKUP($G37,$K$2:$M$15,2,FALSE)</f>
        <v>2</v>
      </c>
      <c r="H38" s="97"/>
    </row>
    <row r="40" spans="1:9" x14ac:dyDescent="0.25">
      <c r="A40" s="189" t="s">
        <v>91</v>
      </c>
      <c r="B40" s="189"/>
      <c r="C40" s="189"/>
      <c r="D40" s="189"/>
      <c r="E40" s="189"/>
      <c r="F40" s="189"/>
      <c r="G40" s="98"/>
      <c r="H40" s="98"/>
    </row>
    <row r="41" spans="1:9" ht="29.95" customHeight="1" x14ac:dyDescent="0.25">
      <c r="B41" s="87" t="s">
        <v>92</v>
      </c>
      <c r="C41" s="204" t="s">
        <v>135</v>
      </c>
      <c r="D41" s="204"/>
      <c r="E41" s="87" t="s">
        <v>93</v>
      </c>
      <c r="F41" s="88" t="s">
        <v>138</v>
      </c>
    </row>
    <row r="42" spans="1:9" ht="29.95" customHeight="1" x14ac:dyDescent="0.25">
      <c r="B42" s="87" t="s">
        <v>94</v>
      </c>
      <c r="C42" s="204" t="s">
        <v>124</v>
      </c>
      <c r="D42" s="204"/>
      <c r="E42" s="87" t="s">
        <v>95</v>
      </c>
      <c r="F42" s="88" t="s">
        <v>23</v>
      </c>
    </row>
    <row r="43" spans="1:9" ht="29.95" customHeight="1" x14ac:dyDescent="0.25">
      <c r="B43" s="87" t="s">
        <v>96</v>
      </c>
      <c r="C43" s="208" t="s">
        <v>136</v>
      </c>
      <c r="D43" s="208"/>
      <c r="E43" s="87" t="s">
        <v>97</v>
      </c>
      <c r="F43" s="114" t="s">
        <v>125</v>
      </c>
    </row>
    <row r="44" spans="1:9" ht="29.95" customHeight="1" x14ac:dyDescent="0.25">
      <c r="B44" s="87" t="s">
        <v>98</v>
      </c>
      <c r="C44" s="191"/>
      <c r="D44" s="191"/>
      <c r="E44" s="87" t="s">
        <v>99</v>
      </c>
      <c r="F44" s="110"/>
    </row>
    <row r="45" spans="1:9" x14ac:dyDescent="0.25">
      <c r="I45" s="105"/>
    </row>
    <row r="47" spans="1:9" x14ac:dyDescent="0.25">
      <c r="A47" s="189" t="s">
        <v>100</v>
      </c>
      <c r="B47" s="189"/>
      <c r="C47" s="189"/>
      <c r="D47" s="189"/>
      <c r="E47" s="192"/>
      <c r="F47" s="192"/>
      <c r="G47" s="98"/>
      <c r="H47" s="98"/>
    </row>
    <row r="48" spans="1:9" ht="30.15" x14ac:dyDescent="0.25">
      <c r="A48" s="87" t="s">
        <v>101</v>
      </c>
      <c r="B48" s="89" t="s">
        <v>102</v>
      </c>
      <c r="C48" s="89" t="s">
        <v>103</v>
      </c>
      <c r="D48" s="89" t="s">
        <v>104</v>
      </c>
      <c r="E48" s="89" t="s">
        <v>105</v>
      </c>
      <c r="F48" s="89" t="s">
        <v>106</v>
      </c>
      <c r="G48" s="99"/>
      <c r="H48" s="99"/>
    </row>
    <row r="49" spans="1:8" ht="20.149999999999999" customHeight="1" x14ac:dyDescent="0.25">
      <c r="A49" s="90">
        <v>1</v>
      </c>
      <c r="B49" s="91" t="s">
        <v>107</v>
      </c>
      <c r="C49" s="88" t="str">
        <f>+$I$6</f>
        <v>CERDO</v>
      </c>
      <c r="D49" s="91"/>
      <c r="E49" s="88">
        <f>+VLOOKUP($G38,CÁRNICOS!$BW$85:$CA$103,3,FALSE)</f>
        <v>0</v>
      </c>
      <c r="F49" s="91"/>
      <c r="G49" s="100"/>
      <c r="H49" s="100"/>
    </row>
    <row r="50" spans="1:8" ht="20.149999999999999" customHeight="1" x14ac:dyDescent="0.25">
      <c r="A50" s="90">
        <v>2</v>
      </c>
      <c r="B50" s="91" t="s">
        <v>108</v>
      </c>
      <c r="C50" s="91"/>
      <c r="D50" s="91"/>
      <c r="E50" s="91"/>
      <c r="F50" s="91"/>
      <c r="G50" s="100"/>
      <c r="H50" s="100"/>
    </row>
    <row r="52" spans="1:8" x14ac:dyDescent="0.25">
      <c r="A52" s="189" t="s">
        <v>109</v>
      </c>
      <c r="B52" s="189"/>
      <c r="C52" s="189"/>
      <c r="D52" s="189"/>
      <c r="E52" s="192"/>
      <c r="F52" s="192"/>
      <c r="G52" s="98"/>
      <c r="H52" s="98"/>
    </row>
    <row r="53" spans="1:8" ht="25.2" customHeight="1" x14ac:dyDescent="0.25">
      <c r="B53" s="87" t="s">
        <v>110</v>
      </c>
      <c r="C53" s="92"/>
      <c r="D53" s="87" t="s">
        <v>111</v>
      </c>
      <c r="E53" s="206"/>
      <c r="F53" s="206"/>
      <c r="G53" s="101"/>
      <c r="H53" s="101"/>
    </row>
    <row r="54" spans="1:8" ht="25.2" customHeight="1" x14ac:dyDescent="0.25">
      <c r="B54" s="87" t="s">
        <v>112</v>
      </c>
      <c r="C54" s="92"/>
      <c r="D54" s="87" t="s">
        <v>113</v>
      </c>
      <c r="E54" s="206"/>
      <c r="F54" s="206"/>
      <c r="G54" s="101"/>
      <c r="H54" s="101"/>
    </row>
    <row r="55" spans="1:8" ht="25.2" customHeight="1" x14ac:dyDescent="0.25">
      <c r="D55" s="87" t="s">
        <v>97</v>
      </c>
      <c r="E55" s="207"/>
      <c r="F55" s="207"/>
      <c r="G55" s="102"/>
      <c r="H55" s="102"/>
    </row>
    <row r="56" spans="1:8" ht="25.2" customHeight="1" x14ac:dyDescent="0.25">
      <c r="B56" s="87" t="s">
        <v>114</v>
      </c>
      <c r="C56" s="191"/>
      <c r="D56" s="191"/>
      <c r="E56" s="93" t="s">
        <v>115</v>
      </c>
      <c r="F56" s="113"/>
    </row>
    <row r="58" spans="1:8" x14ac:dyDescent="0.25">
      <c r="A58" s="189" t="s">
        <v>116</v>
      </c>
      <c r="B58" s="189"/>
      <c r="C58" s="189"/>
      <c r="D58" s="189"/>
      <c r="E58" s="189"/>
      <c r="F58" s="189"/>
      <c r="G58" s="98"/>
      <c r="H58" s="98"/>
    </row>
    <row r="59" spans="1:8" ht="25.2" customHeight="1" x14ac:dyDescent="0.25">
      <c r="B59" s="93" t="s">
        <v>94</v>
      </c>
      <c r="C59" s="96" t="s">
        <v>124</v>
      </c>
      <c r="D59" s="87" t="s">
        <v>117</v>
      </c>
      <c r="E59" s="190"/>
      <c r="F59" s="190"/>
      <c r="G59" s="103"/>
      <c r="H59" s="103"/>
    </row>
    <row r="60" spans="1:8" ht="25.2" customHeight="1" x14ac:dyDescent="0.25">
      <c r="B60" s="93" t="s">
        <v>95</v>
      </c>
      <c r="C60" s="111" t="str">
        <f>+$G37</f>
        <v>NORCASIA</v>
      </c>
      <c r="D60" s="87" t="s">
        <v>118</v>
      </c>
      <c r="E60" s="190"/>
      <c r="F60" s="190"/>
      <c r="G60" s="103"/>
      <c r="H60" s="103"/>
    </row>
    <row r="61" spans="1:8" ht="25.2" customHeight="1" x14ac:dyDescent="0.25">
      <c r="B61" s="93" t="s">
        <v>119</v>
      </c>
      <c r="C61" s="112"/>
      <c r="D61" s="87" t="s">
        <v>153</v>
      </c>
      <c r="E61" s="205" t="str">
        <f>+VLOOKUP($G37,$K$2:$M$15,3,FALSE)</f>
        <v>CRA 5 # 14-12</v>
      </c>
      <c r="F61" s="205"/>
    </row>
    <row r="62" spans="1:8" ht="25.2" customHeight="1" x14ac:dyDescent="0.25">
      <c r="B62" s="93" t="s">
        <v>120</v>
      </c>
      <c r="C62" s="112"/>
    </row>
    <row r="64" spans="1:8" x14ac:dyDescent="0.25">
      <c r="A64" s="189" t="s">
        <v>121</v>
      </c>
      <c r="B64" s="189"/>
      <c r="C64" s="192"/>
      <c r="D64" s="192"/>
      <c r="E64" s="192"/>
      <c r="F64" s="189"/>
      <c r="G64" s="98"/>
      <c r="H64" s="98"/>
    </row>
    <row r="65" spans="1:9" ht="25.2" customHeight="1" x14ac:dyDescent="0.25">
      <c r="B65" s="93" t="s">
        <v>158</v>
      </c>
      <c r="C65" s="193" t="s">
        <v>171</v>
      </c>
      <c r="D65" s="194"/>
      <c r="E65" s="195"/>
    </row>
    <row r="66" spans="1:9" ht="25.2" customHeight="1" x14ac:dyDescent="0.25">
      <c r="B66" s="87" t="s">
        <v>113</v>
      </c>
      <c r="C66" s="199">
        <v>1298501</v>
      </c>
      <c r="D66" s="194"/>
      <c r="E66" s="195"/>
    </row>
    <row r="67" spans="1:9" ht="25.2" customHeight="1" x14ac:dyDescent="0.25">
      <c r="B67" s="87" t="s">
        <v>122</v>
      </c>
      <c r="C67" s="193" t="s">
        <v>159</v>
      </c>
      <c r="D67" s="194"/>
      <c r="E67" s="195"/>
    </row>
    <row r="68" spans="1:9" ht="25.2" customHeight="1" x14ac:dyDescent="0.25">
      <c r="B68" s="87" t="s">
        <v>123</v>
      </c>
      <c r="C68" s="196"/>
      <c r="D68" s="197"/>
      <c r="E68" s="198"/>
    </row>
    <row r="70" spans="1:9" ht="15.75" thickBot="1" x14ac:dyDescent="0.3">
      <c r="I70" s="95" t="s">
        <v>88</v>
      </c>
    </row>
    <row r="71" spans="1:9" ht="23.4" customHeight="1" thickBot="1" x14ac:dyDescent="0.3">
      <c r="B71" s="209" t="str">
        <f>+$B$3</f>
        <v>CÓDIGO INVIMA: 170AC</v>
      </c>
      <c r="C71" s="200" t="s">
        <v>89</v>
      </c>
      <c r="D71" s="200"/>
      <c r="E71" s="201" t="s">
        <v>90</v>
      </c>
      <c r="F71" s="201"/>
      <c r="G71" s="94" t="s">
        <v>9</v>
      </c>
      <c r="H71" s="109" t="str">
        <f>+$H$3</f>
        <v>24</v>
      </c>
      <c r="I71" s="108" t="str">
        <f>+VLOOKUP($G71,$K$2:$M$15,2,FALSE)&amp;$H$3&amp;$H$2</f>
        <v>324CER</v>
      </c>
    </row>
    <row r="72" spans="1:9" ht="25.2" customHeight="1" thickBot="1" x14ac:dyDescent="0.3">
      <c r="B72" s="210"/>
      <c r="C72" s="202"/>
      <c r="D72" s="202"/>
      <c r="E72" s="203" t="str">
        <f>+$F$7&amp;"-"&amp;$I71&amp;"-"&amp;2025</f>
        <v>170AC-324CER-2025</v>
      </c>
      <c r="F72" s="203"/>
      <c r="G72" s="138">
        <f>+VLOOKUP($G71,$K$2:$M$15,2,FALSE)</f>
        <v>3</v>
      </c>
      <c r="H72" s="97"/>
    </row>
    <row r="74" spans="1:9" x14ac:dyDescent="0.25">
      <c r="A74" s="189" t="s">
        <v>91</v>
      </c>
      <c r="B74" s="189"/>
      <c r="C74" s="189"/>
      <c r="D74" s="189"/>
      <c r="E74" s="189"/>
      <c r="F74" s="189"/>
      <c r="G74" s="98"/>
      <c r="H74" s="98"/>
    </row>
    <row r="75" spans="1:9" ht="29.95" customHeight="1" x14ac:dyDescent="0.25">
      <c r="B75" s="87" t="s">
        <v>92</v>
      </c>
      <c r="C75" s="204" t="s">
        <v>135</v>
      </c>
      <c r="D75" s="204"/>
      <c r="E75" s="87" t="s">
        <v>93</v>
      </c>
      <c r="F75" s="88" t="s">
        <v>138</v>
      </c>
    </row>
    <row r="76" spans="1:9" ht="29.95" customHeight="1" x14ac:dyDescent="0.25">
      <c r="B76" s="87" t="s">
        <v>94</v>
      </c>
      <c r="C76" s="204" t="s">
        <v>124</v>
      </c>
      <c r="D76" s="204"/>
      <c r="E76" s="87" t="s">
        <v>95</v>
      </c>
      <c r="F76" s="88" t="s">
        <v>23</v>
      </c>
    </row>
    <row r="77" spans="1:9" ht="29.95" customHeight="1" x14ac:dyDescent="0.25">
      <c r="B77" s="87" t="s">
        <v>96</v>
      </c>
      <c r="C77" s="208" t="s">
        <v>136</v>
      </c>
      <c r="D77" s="208"/>
      <c r="E77" s="87" t="s">
        <v>97</v>
      </c>
      <c r="F77" s="114" t="s">
        <v>125</v>
      </c>
    </row>
    <row r="78" spans="1:9" ht="29.95" customHeight="1" x14ac:dyDescent="0.25">
      <c r="B78" s="87" t="s">
        <v>98</v>
      </c>
      <c r="C78" s="191"/>
      <c r="D78" s="191"/>
      <c r="E78" s="87" t="s">
        <v>99</v>
      </c>
      <c r="F78" s="110"/>
    </row>
    <row r="79" spans="1:9" x14ac:dyDescent="0.25">
      <c r="I79" s="105"/>
    </row>
    <row r="81" spans="1:8" x14ac:dyDescent="0.25">
      <c r="A81" s="189" t="s">
        <v>100</v>
      </c>
      <c r="B81" s="189"/>
      <c r="C81" s="189"/>
      <c r="D81" s="189"/>
      <c r="E81" s="192"/>
      <c r="F81" s="192"/>
      <c r="G81" s="98"/>
      <c r="H81" s="98"/>
    </row>
    <row r="82" spans="1:8" ht="30.15" x14ac:dyDescent="0.25">
      <c r="A82" s="87" t="s">
        <v>101</v>
      </c>
      <c r="B82" s="89" t="s">
        <v>102</v>
      </c>
      <c r="C82" s="89" t="s">
        <v>103</v>
      </c>
      <c r="D82" s="89" t="s">
        <v>104</v>
      </c>
      <c r="E82" s="89" t="s">
        <v>105</v>
      </c>
      <c r="F82" s="89" t="s">
        <v>106</v>
      </c>
      <c r="G82" s="99"/>
      <c r="H82" s="99"/>
    </row>
    <row r="83" spans="1:8" ht="20.149999999999999" customHeight="1" x14ac:dyDescent="0.25">
      <c r="A83" s="90">
        <v>1</v>
      </c>
      <c r="B83" s="91" t="s">
        <v>107</v>
      </c>
      <c r="C83" s="88" t="str">
        <f>+$I$6</f>
        <v>CERDO</v>
      </c>
      <c r="D83" s="91"/>
      <c r="E83" s="88">
        <f>+VLOOKUP($G72,CÁRNICOS!$BW$85:$CA$103,3,FALSE)</f>
        <v>0</v>
      </c>
      <c r="F83" s="91"/>
      <c r="G83" s="100"/>
      <c r="H83" s="100"/>
    </row>
    <row r="84" spans="1:8" ht="20.149999999999999" customHeight="1" x14ac:dyDescent="0.25">
      <c r="A84" s="90">
        <v>2</v>
      </c>
      <c r="B84" s="91" t="s">
        <v>108</v>
      </c>
      <c r="C84" s="91"/>
      <c r="D84" s="91"/>
      <c r="E84" s="91"/>
      <c r="F84" s="91"/>
      <c r="G84" s="100"/>
      <c r="H84" s="100"/>
    </row>
    <row r="86" spans="1:8" x14ac:dyDescent="0.25">
      <c r="A86" s="189" t="s">
        <v>109</v>
      </c>
      <c r="B86" s="189"/>
      <c r="C86" s="189"/>
      <c r="D86" s="189"/>
      <c r="E86" s="192"/>
      <c r="F86" s="192"/>
      <c r="G86" s="98"/>
      <c r="H86" s="98"/>
    </row>
    <row r="87" spans="1:8" ht="25.2" customHeight="1" x14ac:dyDescent="0.25">
      <c r="B87" s="87" t="s">
        <v>110</v>
      </c>
      <c r="C87" s="92"/>
      <c r="D87" s="87" t="s">
        <v>111</v>
      </c>
      <c r="E87" s="206"/>
      <c r="F87" s="206"/>
      <c r="G87" s="101"/>
      <c r="H87" s="101"/>
    </row>
    <row r="88" spans="1:8" ht="25.2" customHeight="1" x14ac:dyDescent="0.25">
      <c r="B88" s="87" t="s">
        <v>112</v>
      </c>
      <c r="C88" s="92"/>
      <c r="D88" s="87" t="s">
        <v>113</v>
      </c>
      <c r="E88" s="206"/>
      <c r="F88" s="206"/>
      <c r="G88" s="101"/>
      <c r="H88" s="101"/>
    </row>
    <row r="89" spans="1:8" ht="25.2" customHeight="1" x14ac:dyDescent="0.25">
      <c r="D89" s="87" t="s">
        <v>97</v>
      </c>
      <c r="E89" s="207"/>
      <c r="F89" s="207"/>
      <c r="G89" s="102"/>
      <c r="H89" s="102"/>
    </row>
    <row r="90" spans="1:8" ht="25.2" customHeight="1" x14ac:dyDescent="0.25">
      <c r="B90" s="87" t="s">
        <v>114</v>
      </c>
      <c r="C90" s="191"/>
      <c r="D90" s="191"/>
      <c r="E90" s="93" t="s">
        <v>115</v>
      </c>
      <c r="F90" s="113"/>
    </row>
    <row r="92" spans="1:8" x14ac:dyDescent="0.25">
      <c r="A92" s="189" t="s">
        <v>116</v>
      </c>
      <c r="B92" s="189"/>
      <c r="C92" s="189"/>
      <c r="D92" s="189"/>
      <c r="E92" s="189"/>
      <c r="F92" s="189"/>
      <c r="G92" s="98"/>
      <c r="H92" s="98"/>
    </row>
    <row r="93" spans="1:8" ht="25.2" customHeight="1" x14ac:dyDescent="0.25">
      <c r="B93" s="93" t="s">
        <v>94</v>
      </c>
      <c r="C93" s="96" t="s">
        <v>124</v>
      </c>
      <c r="D93" s="87" t="s">
        <v>117</v>
      </c>
      <c r="E93" s="190"/>
      <c r="F93" s="190"/>
      <c r="G93" s="103"/>
      <c r="H93" s="103"/>
    </row>
    <row r="94" spans="1:8" ht="25.2" customHeight="1" x14ac:dyDescent="0.25">
      <c r="B94" s="93" t="s">
        <v>95</v>
      </c>
      <c r="C94" s="111" t="str">
        <f>+$G71</f>
        <v>SAMANÁ</v>
      </c>
      <c r="D94" s="87" t="s">
        <v>118</v>
      </c>
      <c r="E94" s="190"/>
      <c r="F94" s="190"/>
      <c r="G94" s="103"/>
      <c r="H94" s="103"/>
    </row>
    <row r="95" spans="1:8" ht="25.2" customHeight="1" x14ac:dyDescent="0.25">
      <c r="B95" s="93" t="s">
        <v>119</v>
      </c>
      <c r="C95" s="112"/>
      <c r="D95" s="87" t="s">
        <v>153</v>
      </c>
      <c r="E95" s="205" t="str">
        <f>+VLOOKUP($G71,$K$2:$M$15,3,FALSE)</f>
        <v>CALLE 7 # 6-17</v>
      </c>
      <c r="F95" s="205"/>
    </row>
    <row r="96" spans="1:8" ht="25.2" customHeight="1" x14ac:dyDescent="0.25">
      <c r="B96" s="93" t="s">
        <v>120</v>
      </c>
      <c r="C96" s="112"/>
    </row>
    <row r="98" spans="1:9" x14ac:dyDescent="0.25">
      <c r="A98" s="189" t="s">
        <v>121</v>
      </c>
      <c r="B98" s="189"/>
      <c r="C98" s="192"/>
      <c r="D98" s="192"/>
      <c r="E98" s="192"/>
      <c r="F98" s="189"/>
      <c r="G98" s="98"/>
      <c r="H98" s="98"/>
    </row>
    <row r="99" spans="1:9" ht="25.2" customHeight="1" x14ac:dyDescent="0.25">
      <c r="B99" s="93" t="s">
        <v>158</v>
      </c>
      <c r="C99" s="193" t="s">
        <v>171</v>
      </c>
      <c r="D99" s="194"/>
      <c r="E99" s="195"/>
    </row>
    <row r="100" spans="1:9" ht="25.2" customHeight="1" x14ac:dyDescent="0.25">
      <c r="B100" s="87" t="s">
        <v>113</v>
      </c>
      <c r="C100" s="199">
        <v>1298501</v>
      </c>
      <c r="D100" s="194"/>
      <c r="E100" s="195"/>
    </row>
    <row r="101" spans="1:9" ht="25.2" customHeight="1" x14ac:dyDescent="0.25">
      <c r="B101" s="87" t="s">
        <v>122</v>
      </c>
      <c r="C101" s="193" t="s">
        <v>159</v>
      </c>
      <c r="D101" s="194"/>
      <c r="E101" s="195"/>
    </row>
    <row r="102" spans="1:9" ht="25.2" customHeight="1" x14ac:dyDescent="0.25">
      <c r="B102" s="87" t="s">
        <v>123</v>
      </c>
      <c r="C102" s="196"/>
      <c r="D102" s="197"/>
      <c r="E102" s="198"/>
    </row>
    <row r="104" spans="1:9" ht="15.75" thickBot="1" x14ac:dyDescent="0.3">
      <c r="I104" s="95" t="s">
        <v>88</v>
      </c>
    </row>
    <row r="105" spans="1:9" ht="23.4" customHeight="1" thickBot="1" x14ac:dyDescent="0.3">
      <c r="B105" s="209" t="str">
        <f>+$B$3</f>
        <v>CÓDIGO INVIMA: 170AC</v>
      </c>
      <c r="C105" s="200" t="s">
        <v>89</v>
      </c>
      <c r="D105" s="200"/>
      <c r="E105" s="201" t="s">
        <v>90</v>
      </c>
      <c r="F105" s="201"/>
      <c r="G105" s="94" t="s">
        <v>14</v>
      </c>
      <c r="H105" s="109" t="str">
        <f>+$H$3</f>
        <v>24</v>
      </c>
      <c r="I105" s="108" t="str">
        <f>+VLOOKUP($G105,$K$2:$M$15,2,FALSE)&amp;$H$3&amp;$H$2</f>
        <v>424CER</v>
      </c>
    </row>
    <row r="106" spans="1:9" ht="25.2" customHeight="1" thickBot="1" x14ac:dyDescent="0.3">
      <c r="B106" s="210"/>
      <c r="C106" s="202"/>
      <c r="D106" s="202"/>
      <c r="E106" s="203" t="str">
        <f>+$F$7&amp;"-"&amp;$I105&amp;"-"&amp;2025</f>
        <v>170AC-424CER-2025</v>
      </c>
      <c r="F106" s="203"/>
      <c r="G106" s="138">
        <f>+VLOOKUP($G105,$K$2:$M$15,2,FALSE)</f>
        <v>4</v>
      </c>
      <c r="H106" s="97"/>
    </row>
    <row r="108" spans="1:9" x14ac:dyDescent="0.25">
      <c r="A108" s="189" t="s">
        <v>91</v>
      </c>
      <c r="B108" s="189"/>
      <c r="C108" s="189"/>
      <c r="D108" s="189"/>
      <c r="E108" s="189"/>
      <c r="F108" s="189"/>
      <c r="G108" s="98"/>
      <c r="H108" s="98"/>
    </row>
    <row r="109" spans="1:9" ht="29.95" customHeight="1" x14ac:dyDescent="0.25">
      <c r="B109" s="87" t="s">
        <v>92</v>
      </c>
      <c r="C109" s="204" t="s">
        <v>135</v>
      </c>
      <c r="D109" s="204"/>
      <c r="E109" s="87" t="s">
        <v>93</v>
      </c>
      <c r="F109" s="88" t="s">
        <v>138</v>
      </c>
    </row>
    <row r="110" spans="1:9" ht="29.95" customHeight="1" x14ac:dyDescent="0.25">
      <c r="B110" s="87" t="s">
        <v>94</v>
      </c>
      <c r="C110" s="204" t="s">
        <v>124</v>
      </c>
      <c r="D110" s="204"/>
      <c r="E110" s="87" t="s">
        <v>95</v>
      </c>
      <c r="F110" s="88" t="s">
        <v>23</v>
      </c>
    </row>
    <row r="111" spans="1:9" ht="29.95" customHeight="1" x14ac:dyDescent="0.25">
      <c r="B111" s="87" t="s">
        <v>96</v>
      </c>
      <c r="C111" s="208" t="s">
        <v>136</v>
      </c>
      <c r="D111" s="208"/>
      <c r="E111" s="87" t="s">
        <v>97</v>
      </c>
      <c r="F111" s="114" t="s">
        <v>125</v>
      </c>
    </row>
    <row r="112" spans="1:9" ht="29.95" customHeight="1" x14ac:dyDescent="0.25">
      <c r="B112" s="87" t="s">
        <v>98</v>
      </c>
      <c r="C112" s="191"/>
      <c r="D112" s="191"/>
      <c r="E112" s="87" t="s">
        <v>99</v>
      </c>
      <c r="F112" s="110"/>
    </row>
    <row r="113" spans="1:9" x14ac:dyDescent="0.25">
      <c r="I113" s="105"/>
    </row>
    <row r="115" spans="1:9" x14ac:dyDescent="0.25">
      <c r="A115" s="189" t="s">
        <v>100</v>
      </c>
      <c r="B115" s="189"/>
      <c r="C115" s="189"/>
      <c r="D115" s="189"/>
      <c r="E115" s="192"/>
      <c r="F115" s="192"/>
      <c r="G115" s="98"/>
      <c r="H115" s="98"/>
    </row>
    <row r="116" spans="1:9" ht="30.15" x14ac:dyDescent="0.25">
      <c r="A116" s="87" t="s">
        <v>101</v>
      </c>
      <c r="B116" s="89" t="s">
        <v>102</v>
      </c>
      <c r="C116" s="89" t="s">
        <v>103</v>
      </c>
      <c r="D116" s="89" t="s">
        <v>104</v>
      </c>
      <c r="E116" s="89" t="s">
        <v>105</v>
      </c>
      <c r="F116" s="89" t="s">
        <v>106</v>
      </c>
      <c r="G116" s="99"/>
      <c r="H116" s="99"/>
    </row>
    <row r="117" spans="1:9" ht="20.149999999999999" customHeight="1" x14ac:dyDescent="0.25">
      <c r="A117" s="90">
        <v>1</v>
      </c>
      <c r="B117" s="91" t="s">
        <v>107</v>
      </c>
      <c r="C117" s="88" t="str">
        <f>+$I$6</f>
        <v>CERDO</v>
      </c>
      <c r="D117" s="91"/>
      <c r="E117" s="88">
        <f>+VLOOKUP($G106,CÁRNICOS!$BW$85:$CA$103,3,FALSE)</f>
        <v>0</v>
      </c>
      <c r="F117" s="91"/>
      <c r="G117" s="100"/>
      <c r="H117" s="100"/>
    </row>
    <row r="118" spans="1:9" ht="20.149999999999999" customHeight="1" x14ac:dyDescent="0.25">
      <c r="A118" s="90">
        <v>2</v>
      </c>
      <c r="B118" s="91" t="s">
        <v>108</v>
      </c>
      <c r="C118" s="91"/>
      <c r="D118" s="91"/>
      <c r="E118" s="91"/>
      <c r="F118" s="91"/>
      <c r="G118" s="100"/>
      <c r="H118" s="100"/>
    </row>
    <row r="120" spans="1:9" x14ac:dyDescent="0.25">
      <c r="A120" s="189" t="s">
        <v>109</v>
      </c>
      <c r="B120" s="189"/>
      <c r="C120" s="189"/>
      <c r="D120" s="189"/>
      <c r="E120" s="192"/>
      <c r="F120" s="192"/>
      <c r="G120" s="98"/>
      <c r="H120" s="98"/>
    </row>
    <row r="121" spans="1:9" ht="25.2" customHeight="1" x14ac:dyDescent="0.25">
      <c r="B121" s="87" t="s">
        <v>110</v>
      </c>
      <c r="C121" s="92"/>
      <c r="D121" s="87" t="s">
        <v>111</v>
      </c>
      <c r="E121" s="206"/>
      <c r="F121" s="206"/>
      <c r="G121" s="101"/>
      <c r="H121" s="101"/>
    </row>
    <row r="122" spans="1:9" ht="25.2" customHeight="1" x14ac:dyDescent="0.25">
      <c r="B122" s="87" t="s">
        <v>112</v>
      </c>
      <c r="C122" s="92"/>
      <c r="D122" s="87" t="s">
        <v>113</v>
      </c>
      <c r="E122" s="206"/>
      <c r="F122" s="206"/>
      <c r="G122" s="101"/>
      <c r="H122" s="101"/>
    </row>
    <row r="123" spans="1:9" ht="25.2" customHeight="1" x14ac:dyDescent="0.25">
      <c r="D123" s="87" t="s">
        <v>97</v>
      </c>
      <c r="E123" s="207"/>
      <c r="F123" s="207"/>
      <c r="G123" s="102"/>
      <c r="H123" s="102"/>
    </row>
    <row r="124" spans="1:9" ht="25.2" customHeight="1" x14ac:dyDescent="0.25">
      <c r="B124" s="87" t="s">
        <v>114</v>
      </c>
      <c r="C124" s="191"/>
      <c r="D124" s="191"/>
      <c r="E124" s="93" t="s">
        <v>115</v>
      </c>
      <c r="F124" s="113"/>
    </row>
    <row r="126" spans="1:9" x14ac:dyDescent="0.25">
      <c r="A126" s="189" t="s">
        <v>116</v>
      </c>
      <c r="B126" s="189"/>
      <c r="C126" s="189"/>
      <c r="D126" s="189"/>
      <c r="E126" s="189"/>
      <c r="F126" s="189"/>
      <c r="G126" s="98"/>
      <c r="H126" s="98"/>
    </row>
    <row r="127" spans="1:9" ht="25.2" customHeight="1" x14ac:dyDescent="0.25">
      <c r="B127" s="93" t="s">
        <v>94</v>
      </c>
      <c r="C127" s="96" t="s">
        <v>124</v>
      </c>
      <c r="D127" s="87" t="s">
        <v>117</v>
      </c>
      <c r="E127" s="190"/>
      <c r="F127" s="190"/>
      <c r="G127" s="103"/>
      <c r="H127" s="103"/>
    </row>
    <row r="128" spans="1:9" ht="25.2" customHeight="1" x14ac:dyDescent="0.25">
      <c r="B128" s="93" t="s">
        <v>95</v>
      </c>
      <c r="C128" s="111" t="str">
        <f>+$G105</f>
        <v>PENSILVANIA</v>
      </c>
      <c r="D128" s="87" t="s">
        <v>118</v>
      </c>
      <c r="E128" s="190"/>
      <c r="F128" s="190"/>
      <c r="G128" s="103"/>
      <c r="H128" s="103"/>
    </row>
    <row r="129" spans="1:9" ht="25.2" customHeight="1" x14ac:dyDescent="0.25">
      <c r="B129" s="93" t="s">
        <v>119</v>
      </c>
      <c r="C129" s="112"/>
      <c r="D129" s="87" t="s">
        <v>153</v>
      </c>
      <c r="E129" s="205" t="str">
        <f>+VLOOKUP($G105,$K$2:$M$15,3,FALSE)</f>
        <v>CASA DE ENCUENTRO PADRE DANIEL MARIA LÓPEZ</v>
      </c>
      <c r="F129" s="205"/>
    </row>
    <row r="130" spans="1:9" ht="25.2" customHeight="1" x14ac:dyDescent="0.25">
      <c r="B130" s="93" t="s">
        <v>120</v>
      </c>
      <c r="C130" s="112"/>
    </row>
    <row r="132" spans="1:9" x14ac:dyDescent="0.25">
      <c r="A132" s="189" t="s">
        <v>121</v>
      </c>
      <c r="B132" s="189"/>
      <c r="C132" s="192"/>
      <c r="D132" s="192"/>
      <c r="E132" s="192"/>
      <c r="F132" s="189"/>
      <c r="G132" s="98"/>
      <c r="H132" s="98"/>
    </row>
    <row r="133" spans="1:9" ht="25.2" customHeight="1" x14ac:dyDescent="0.25">
      <c r="B133" s="93" t="s">
        <v>158</v>
      </c>
      <c r="C133" s="193" t="s">
        <v>171</v>
      </c>
      <c r="D133" s="194"/>
      <c r="E133" s="195"/>
    </row>
    <row r="134" spans="1:9" ht="25.2" customHeight="1" x14ac:dyDescent="0.25">
      <c r="B134" s="87" t="s">
        <v>113</v>
      </c>
      <c r="C134" s="199">
        <v>1298501</v>
      </c>
      <c r="D134" s="194"/>
      <c r="E134" s="195"/>
    </row>
    <row r="135" spans="1:9" ht="25.2" customHeight="1" x14ac:dyDescent="0.25">
      <c r="B135" s="87" t="s">
        <v>122</v>
      </c>
      <c r="C135" s="193" t="s">
        <v>159</v>
      </c>
      <c r="D135" s="194"/>
      <c r="E135" s="195"/>
    </row>
    <row r="136" spans="1:9" ht="25.2" customHeight="1" x14ac:dyDescent="0.25">
      <c r="B136" s="87" t="s">
        <v>123</v>
      </c>
      <c r="C136" s="196"/>
      <c r="D136" s="197"/>
      <c r="E136" s="198"/>
    </row>
    <row r="138" spans="1:9" ht="15.75" thickBot="1" x14ac:dyDescent="0.3">
      <c r="I138" s="95" t="s">
        <v>88</v>
      </c>
    </row>
    <row r="139" spans="1:9" ht="23.4" customHeight="1" thickBot="1" x14ac:dyDescent="0.3">
      <c r="B139" s="209" t="str">
        <f>+$B$3</f>
        <v>CÓDIGO INVIMA: 170AC</v>
      </c>
      <c r="C139" s="200" t="s">
        <v>89</v>
      </c>
      <c r="D139" s="200"/>
      <c r="E139" s="201" t="s">
        <v>90</v>
      </c>
      <c r="F139" s="201"/>
      <c r="G139" s="94" t="s">
        <v>21</v>
      </c>
      <c r="H139" s="109" t="str">
        <f>+$H$3</f>
        <v>24</v>
      </c>
      <c r="I139" s="108" t="str">
        <f>+VLOOKUP($G139,$K$2:$M$15,2,FALSE)&amp;$H$3&amp;$H$2</f>
        <v>524CER</v>
      </c>
    </row>
    <row r="140" spans="1:9" ht="25.2" customHeight="1" thickBot="1" x14ac:dyDescent="0.3">
      <c r="B140" s="210"/>
      <c r="C140" s="202"/>
      <c r="D140" s="202"/>
      <c r="E140" s="203" t="str">
        <f>+$F$7&amp;"-"&amp;$I139&amp;"-"&amp;2025</f>
        <v>170AC-524CER-2025</v>
      </c>
      <c r="F140" s="203"/>
      <c r="G140" s="138">
        <f>+VLOOKUP($G139,$K$2:$M$15,2,FALSE)</f>
        <v>5</v>
      </c>
      <c r="H140" s="97"/>
    </row>
    <row r="142" spans="1:9" x14ac:dyDescent="0.25">
      <c r="A142" s="189" t="s">
        <v>91</v>
      </c>
      <c r="B142" s="189"/>
      <c r="C142" s="189"/>
      <c r="D142" s="189"/>
      <c r="E142" s="189"/>
      <c r="F142" s="189"/>
      <c r="G142" s="98"/>
      <c r="H142" s="98"/>
    </row>
    <row r="143" spans="1:9" ht="29.95" customHeight="1" x14ac:dyDescent="0.25">
      <c r="B143" s="87" t="s">
        <v>92</v>
      </c>
      <c r="C143" s="204" t="s">
        <v>135</v>
      </c>
      <c r="D143" s="204"/>
      <c r="E143" s="87" t="s">
        <v>93</v>
      </c>
      <c r="F143" s="88" t="s">
        <v>138</v>
      </c>
    </row>
    <row r="144" spans="1:9" ht="29.95" customHeight="1" x14ac:dyDescent="0.25">
      <c r="B144" s="87" t="s">
        <v>94</v>
      </c>
      <c r="C144" s="204" t="s">
        <v>124</v>
      </c>
      <c r="D144" s="204"/>
      <c r="E144" s="87" t="s">
        <v>95</v>
      </c>
      <c r="F144" s="88" t="s">
        <v>23</v>
      </c>
    </row>
    <row r="145" spans="1:9" ht="29.95" customHeight="1" x14ac:dyDescent="0.25">
      <c r="B145" s="87" t="s">
        <v>96</v>
      </c>
      <c r="C145" s="208" t="s">
        <v>136</v>
      </c>
      <c r="D145" s="208"/>
      <c r="E145" s="87" t="s">
        <v>97</v>
      </c>
      <c r="F145" s="114" t="s">
        <v>125</v>
      </c>
    </row>
    <row r="146" spans="1:9" ht="29.95" customHeight="1" x14ac:dyDescent="0.25">
      <c r="B146" s="87" t="s">
        <v>98</v>
      </c>
      <c r="C146" s="191"/>
      <c r="D146" s="191"/>
      <c r="E146" s="87" t="s">
        <v>99</v>
      </c>
      <c r="F146" s="110"/>
    </row>
    <row r="147" spans="1:9" x14ac:dyDescent="0.25">
      <c r="I147" s="105"/>
    </row>
    <row r="149" spans="1:9" x14ac:dyDescent="0.25">
      <c r="A149" s="189" t="s">
        <v>100</v>
      </c>
      <c r="B149" s="189"/>
      <c r="C149" s="189"/>
      <c r="D149" s="189"/>
      <c r="E149" s="192"/>
      <c r="F149" s="192"/>
      <c r="G149" s="98"/>
      <c r="H149" s="98"/>
    </row>
    <row r="150" spans="1:9" ht="30.15" x14ac:dyDescent="0.25">
      <c r="A150" s="87" t="s">
        <v>101</v>
      </c>
      <c r="B150" s="89" t="s">
        <v>102</v>
      </c>
      <c r="C150" s="89" t="s">
        <v>103</v>
      </c>
      <c r="D150" s="89" t="s">
        <v>104</v>
      </c>
      <c r="E150" s="89" t="s">
        <v>105</v>
      </c>
      <c r="F150" s="89" t="s">
        <v>106</v>
      </c>
      <c r="G150" s="99"/>
      <c r="H150" s="99"/>
    </row>
    <row r="151" spans="1:9" ht="20.149999999999999" customHeight="1" x14ac:dyDescent="0.25">
      <c r="A151" s="90">
        <v>1</v>
      </c>
      <c r="B151" s="91" t="s">
        <v>107</v>
      </c>
      <c r="C151" s="88" t="str">
        <f>+$I$6</f>
        <v>CERDO</v>
      </c>
      <c r="D151" s="91"/>
      <c r="E151" s="88">
        <f>+VLOOKUP($G140,CÁRNICOS!$BW$85:$CA$103,3,FALSE)</f>
        <v>0</v>
      </c>
      <c r="F151" s="91"/>
      <c r="G151" s="100"/>
      <c r="H151" s="100"/>
    </row>
    <row r="152" spans="1:9" ht="20.149999999999999" customHeight="1" x14ac:dyDescent="0.25">
      <c r="A152" s="90">
        <v>2</v>
      </c>
      <c r="B152" s="91" t="s">
        <v>108</v>
      </c>
      <c r="C152" s="91"/>
      <c r="D152" s="91"/>
      <c r="E152" s="91"/>
      <c r="F152" s="91"/>
      <c r="G152" s="100"/>
      <c r="H152" s="100"/>
    </row>
    <row r="154" spans="1:9" x14ac:dyDescent="0.25">
      <c r="A154" s="189" t="s">
        <v>109</v>
      </c>
      <c r="B154" s="189"/>
      <c r="C154" s="189"/>
      <c r="D154" s="189"/>
      <c r="E154" s="192"/>
      <c r="F154" s="192"/>
      <c r="G154" s="98"/>
      <c r="H154" s="98"/>
    </row>
    <row r="155" spans="1:9" ht="25.2" customHeight="1" x14ac:dyDescent="0.25">
      <c r="B155" s="87" t="s">
        <v>110</v>
      </c>
      <c r="C155" s="92"/>
      <c r="D155" s="87" t="s">
        <v>111</v>
      </c>
      <c r="E155" s="206"/>
      <c r="F155" s="206"/>
      <c r="G155" s="101"/>
      <c r="H155" s="101"/>
    </row>
    <row r="156" spans="1:9" ht="25.2" customHeight="1" x14ac:dyDescent="0.25">
      <c r="B156" s="87" t="s">
        <v>112</v>
      </c>
      <c r="C156" s="92"/>
      <c r="D156" s="87" t="s">
        <v>113</v>
      </c>
      <c r="E156" s="206"/>
      <c r="F156" s="206"/>
      <c r="G156" s="101"/>
      <c r="H156" s="101"/>
    </row>
    <row r="157" spans="1:9" ht="25.2" customHeight="1" x14ac:dyDescent="0.25">
      <c r="D157" s="87" t="s">
        <v>97</v>
      </c>
      <c r="E157" s="207"/>
      <c r="F157" s="207"/>
      <c r="G157" s="102"/>
      <c r="H157" s="102"/>
    </row>
    <row r="158" spans="1:9" ht="25.2" customHeight="1" x14ac:dyDescent="0.25">
      <c r="B158" s="87" t="s">
        <v>114</v>
      </c>
      <c r="C158" s="191"/>
      <c r="D158" s="191"/>
      <c r="E158" s="93" t="s">
        <v>115</v>
      </c>
      <c r="F158" s="113"/>
    </row>
    <row r="160" spans="1:9" x14ac:dyDescent="0.25">
      <c r="A160" s="189" t="s">
        <v>116</v>
      </c>
      <c r="B160" s="189"/>
      <c r="C160" s="189"/>
      <c r="D160" s="189"/>
      <c r="E160" s="189"/>
      <c r="F160" s="189"/>
      <c r="G160" s="98"/>
      <c r="H160" s="98"/>
    </row>
    <row r="161" spans="1:9" ht="25.2" customHeight="1" x14ac:dyDescent="0.25">
      <c r="B161" s="93" t="s">
        <v>94</v>
      </c>
      <c r="C161" s="96" t="s">
        <v>124</v>
      </c>
      <c r="D161" s="87" t="s">
        <v>117</v>
      </c>
      <c r="E161" s="190"/>
      <c r="F161" s="190"/>
      <c r="G161" s="103"/>
      <c r="H161" s="103"/>
    </row>
    <row r="162" spans="1:9" ht="25.2" customHeight="1" x14ac:dyDescent="0.25">
      <c r="B162" s="93" t="s">
        <v>95</v>
      </c>
      <c r="C162" s="111" t="str">
        <f>+$G139</f>
        <v>MANZANARES</v>
      </c>
      <c r="D162" s="87" t="s">
        <v>118</v>
      </c>
      <c r="E162" s="190"/>
      <c r="F162" s="190"/>
      <c r="G162" s="103"/>
      <c r="H162" s="103"/>
    </row>
    <row r="163" spans="1:9" ht="25.2" customHeight="1" x14ac:dyDescent="0.25">
      <c r="B163" s="93" t="s">
        <v>119</v>
      </c>
      <c r="C163" s="112"/>
      <c r="D163" s="87" t="s">
        <v>153</v>
      </c>
      <c r="E163" s="205" t="str">
        <f>+VLOOKUP($G139,$K$2:$M$15,3,FALSE)</f>
        <v>CRA 4 # 18-00</v>
      </c>
      <c r="F163" s="205"/>
    </row>
    <row r="164" spans="1:9" ht="25.2" customHeight="1" x14ac:dyDescent="0.25">
      <c r="B164" s="93" t="s">
        <v>120</v>
      </c>
      <c r="C164" s="112"/>
    </row>
    <row r="166" spans="1:9" x14ac:dyDescent="0.25">
      <c r="A166" s="189" t="s">
        <v>121</v>
      </c>
      <c r="B166" s="189"/>
      <c r="C166" s="192"/>
      <c r="D166" s="192"/>
      <c r="E166" s="192"/>
      <c r="F166" s="189"/>
      <c r="G166" s="98"/>
      <c r="H166" s="98"/>
    </row>
    <row r="167" spans="1:9" ht="25.2" customHeight="1" x14ac:dyDescent="0.25">
      <c r="B167" s="93" t="s">
        <v>158</v>
      </c>
      <c r="C167" s="193" t="s">
        <v>171</v>
      </c>
      <c r="D167" s="194"/>
      <c r="E167" s="195"/>
    </row>
    <row r="168" spans="1:9" ht="25.2" customHeight="1" x14ac:dyDescent="0.25">
      <c r="B168" s="87" t="s">
        <v>113</v>
      </c>
      <c r="C168" s="199">
        <v>1298501</v>
      </c>
      <c r="D168" s="194"/>
      <c r="E168" s="195"/>
    </row>
    <row r="169" spans="1:9" ht="25.2" customHeight="1" x14ac:dyDescent="0.25">
      <c r="B169" s="87" t="s">
        <v>122</v>
      </c>
      <c r="C169" s="193" t="s">
        <v>159</v>
      </c>
      <c r="D169" s="194"/>
      <c r="E169" s="195"/>
    </row>
    <row r="170" spans="1:9" ht="25.2" customHeight="1" x14ac:dyDescent="0.25">
      <c r="B170" s="87" t="s">
        <v>123</v>
      </c>
      <c r="C170" s="196"/>
      <c r="D170" s="197"/>
      <c r="E170" s="198"/>
    </row>
    <row r="172" spans="1:9" ht="15.75" thickBot="1" x14ac:dyDescent="0.3">
      <c r="I172" s="95" t="s">
        <v>88</v>
      </c>
    </row>
    <row r="173" spans="1:9" ht="23.4" customHeight="1" thickBot="1" x14ac:dyDescent="0.3">
      <c r="B173" s="209" t="str">
        <f>+$B$3</f>
        <v>CÓDIGO INVIMA: 170AC</v>
      </c>
      <c r="C173" s="200" t="s">
        <v>89</v>
      </c>
      <c r="D173" s="200"/>
      <c r="E173" s="201" t="s">
        <v>90</v>
      </c>
      <c r="F173" s="201"/>
      <c r="G173" s="94" t="s">
        <v>20</v>
      </c>
      <c r="H173" s="109" t="str">
        <f>+$H$3</f>
        <v>24</v>
      </c>
      <c r="I173" s="108" t="str">
        <f>+VLOOKUP($G173,$K$2:$M$15,2,FALSE)&amp;$H$3&amp;$H$2</f>
        <v>624CER</v>
      </c>
    </row>
    <row r="174" spans="1:9" ht="25.2" customHeight="1" thickBot="1" x14ac:dyDescent="0.3">
      <c r="B174" s="210"/>
      <c r="C174" s="202"/>
      <c r="D174" s="202"/>
      <c r="E174" s="203" t="str">
        <f>+$F$7&amp;"-"&amp;$I173&amp;"-"&amp;2025</f>
        <v>170AC-624CER-2025</v>
      </c>
      <c r="F174" s="203"/>
      <c r="G174" s="138">
        <f>+VLOOKUP($G173,$K$2:$M$15,2,FALSE)</f>
        <v>6</v>
      </c>
      <c r="H174" s="97"/>
    </row>
    <row r="176" spans="1:9" x14ac:dyDescent="0.25">
      <c r="A176" s="189" t="s">
        <v>91</v>
      </c>
      <c r="B176" s="189"/>
      <c r="C176" s="189"/>
      <c r="D176" s="189"/>
      <c r="E176" s="189"/>
      <c r="F176" s="189"/>
      <c r="G176" s="98"/>
      <c r="H176" s="98"/>
    </row>
    <row r="177" spans="1:9" ht="29.95" customHeight="1" x14ac:dyDescent="0.25">
      <c r="B177" s="87" t="s">
        <v>92</v>
      </c>
      <c r="C177" s="204" t="s">
        <v>135</v>
      </c>
      <c r="D177" s="204"/>
      <c r="E177" s="87" t="s">
        <v>93</v>
      </c>
      <c r="F177" s="88" t="s">
        <v>138</v>
      </c>
    </row>
    <row r="178" spans="1:9" ht="29.95" customHeight="1" x14ac:dyDescent="0.25">
      <c r="B178" s="87" t="s">
        <v>94</v>
      </c>
      <c r="C178" s="204" t="s">
        <v>124</v>
      </c>
      <c r="D178" s="204"/>
      <c r="E178" s="87" t="s">
        <v>95</v>
      </c>
      <c r="F178" s="88" t="s">
        <v>23</v>
      </c>
    </row>
    <row r="179" spans="1:9" ht="29.95" customHeight="1" x14ac:dyDescent="0.25">
      <c r="B179" s="87" t="s">
        <v>96</v>
      </c>
      <c r="C179" s="208" t="s">
        <v>136</v>
      </c>
      <c r="D179" s="208"/>
      <c r="E179" s="87" t="s">
        <v>97</v>
      </c>
      <c r="F179" s="114" t="s">
        <v>125</v>
      </c>
    </row>
    <row r="180" spans="1:9" ht="29.95" customHeight="1" x14ac:dyDescent="0.25">
      <c r="B180" s="87" t="s">
        <v>98</v>
      </c>
      <c r="C180" s="191"/>
      <c r="D180" s="191"/>
      <c r="E180" s="87" t="s">
        <v>99</v>
      </c>
      <c r="F180" s="110"/>
    </row>
    <row r="181" spans="1:9" x14ac:dyDescent="0.25">
      <c r="I181" s="105"/>
    </row>
    <row r="183" spans="1:9" x14ac:dyDescent="0.25">
      <c r="A183" s="189" t="s">
        <v>100</v>
      </c>
      <c r="B183" s="189"/>
      <c r="C183" s="189"/>
      <c r="D183" s="189"/>
      <c r="E183" s="192"/>
      <c r="F183" s="192"/>
      <c r="G183" s="98"/>
      <c r="H183" s="98"/>
    </row>
    <row r="184" spans="1:9" ht="30.15" x14ac:dyDescent="0.25">
      <c r="A184" s="87" t="s">
        <v>101</v>
      </c>
      <c r="B184" s="89" t="s">
        <v>102</v>
      </c>
      <c r="C184" s="89" t="s">
        <v>103</v>
      </c>
      <c r="D184" s="89" t="s">
        <v>104</v>
      </c>
      <c r="E184" s="89" t="s">
        <v>105</v>
      </c>
      <c r="F184" s="89" t="s">
        <v>106</v>
      </c>
      <c r="G184" s="99"/>
      <c r="H184" s="99"/>
    </row>
    <row r="185" spans="1:9" ht="20.149999999999999" customHeight="1" x14ac:dyDescent="0.25">
      <c r="A185" s="90">
        <v>1</v>
      </c>
      <c r="B185" s="91" t="s">
        <v>107</v>
      </c>
      <c r="C185" s="88" t="str">
        <f>+$I$6</f>
        <v>CERDO</v>
      </c>
      <c r="D185" s="91"/>
      <c r="E185" s="88">
        <f>+VLOOKUP($G174,CÁRNICOS!$BW$85:$CA$103,3,FALSE)</f>
        <v>0</v>
      </c>
      <c r="F185" s="91"/>
      <c r="G185" s="100"/>
      <c r="H185" s="100"/>
    </row>
    <row r="186" spans="1:9" ht="20.149999999999999" customHeight="1" x14ac:dyDescent="0.25">
      <c r="A186" s="90">
        <v>2</v>
      </c>
      <c r="B186" s="91" t="s">
        <v>108</v>
      </c>
      <c r="C186" s="91"/>
      <c r="D186" s="91"/>
      <c r="E186" s="91"/>
      <c r="F186" s="91"/>
      <c r="G186" s="100"/>
      <c r="H186" s="100"/>
    </row>
    <row r="188" spans="1:9" x14ac:dyDescent="0.25">
      <c r="A188" s="189" t="s">
        <v>109</v>
      </c>
      <c r="B188" s="189"/>
      <c r="C188" s="189"/>
      <c r="D188" s="189"/>
      <c r="E188" s="192"/>
      <c r="F188" s="192"/>
      <c r="G188" s="98"/>
      <c r="H188" s="98"/>
    </row>
    <row r="189" spans="1:9" ht="25.2" customHeight="1" x14ac:dyDescent="0.25">
      <c r="B189" s="87" t="s">
        <v>110</v>
      </c>
      <c r="C189" s="92"/>
      <c r="D189" s="87" t="s">
        <v>111</v>
      </c>
      <c r="E189" s="206"/>
      <c r="F189" s="206"/>
      <c r="G189" s="101"/>
      <c r="H189" s="101"/>
    </row>
    <row r="190" spans="1:9" ht="25.2" customHeight="1" x14ac:dyDescent="0.25">
      <c r="B190" s="87" t="s">
        <v>112</v>
      </c>
      <c r="C190" s="92"/>
      <c r="D190" s="87" t="s">
        <v>113</v>
      </c>
      <c r="E190" s="206"/>
      <c r="F190" s="206"/>
      <c r="G190" s="101"/>
      <c r="H190" s="101"/>
    </row>
    <row r="191" spans="1:9" ht="25.2" customHeight="1" x14ac:dyDescent="0.25">
      <c r="D191" s="87" t="s">
        <v>97</v>
      </c>
      <c r="E191" s="207"/>
      <c r="F191" s="207"/>
      <c r="G191" s="102"/>
      <c r="H191" s="102"/>
    </row>
    <row r="192" spans="1:9" ht="25.2" customHeight="1" x14ac:dyDescent="0.25">
      <c r="B192" s="87" t="s">
        <v>114</v>
      </c>
      <c r="C192" s="191"/>
      <c r="D192" s="191"/>
      <c r="E192" s="93" t="s">
        <v>115</v>
      </c>
      <c r="F192" s="113"/>
    </row>
    <row r="194" spans="1:9" x14ac:dyDescent="0.25">
      <c r="A194" s="189" t="s">
        <v>116</v>
      </c>
      <c r="B194" s="189"/>
      <c r="C194" s="189"/>
      <c r="D194" s="189"/>
      <c r="E194" s="189"/>
      <c r="F194" s="189"/>
      <c r="G194" s="98"/>
      <c r="H194" s="98"/>
    </row>
    <row r="195" spans="1:9" ht="25.2" customHeight="1" x14ac:dyDescent="0.25">
      <c r="B195" s="93" t="s">
        <v>94</v>
      </c>
      <c r="C195" s="96" t="s">
        <v>124</v>
      </c>
      <c r="D195" s="87" t="s">
        <v>117</v>
      </c>
      <c r="E195" s="190"/>
      <c r="F195" s="190"/>
      <c r="G195" s="103"/>
      <c r="H195" s="103"/>
    </row>
    <row r="196" spans="1:9" ht="25.2" customHeight="1" x14ac:dyDescent="0.25">
      <c r="B196" s="93" t="s">
        <v>95</v>
      </c>
      <c r="C196" s="111" t="str">
        <f>+$G173</f>
        <v>MARQUETALIA</v>
      </c>
      <c r="D196" s="87" t="s">
        <v>118</v>
      </c>
      <c r="E196" s="190"/>
      <c r="F196" s="190"/>
      <c r="G196" s="103"/>
      <c r="H196" s="103"/>
    </row>
    <row r="197" spans="1:9" ht="25.2" customHeight="1" x14ac:dyDescent="0.25">
      <c r="B197" s="93" t="s">
        <v>119</v>
      </c>
      <c r="C197" s="112"/>
      <c r="D197" s="87" t="s">
        <v>153</v>
      </c>
      <c r="E197" s="205" t="str">
        <f>+VLOOKUP($G173,$K$2:$M$15,3,FALSE)</f>
        <v>CRA 2 A 32-36</v>
      </c>
      <c r="F197" s="205"/>
    </row>
    <row r="198" spans="1:9" ht="25.2" customHeight="1" x14ac:dyDescent="0.25">
      <c r="B198" s="93" t="s">
        <v>120</v>
      </c>
      <c r="C198" s="112"/>
    </row>
    <row r="200" spans="1:9" x14ac:dyDescent="0.25">
      <c r="A200" s="189" t="s">
        <v>121</v>
      </c>
      <c r="B200" s="189"/>
      <c r="C200" s="192"/>
      <c r="D200" s="192"/>
      <c r="E200" s="192"/>
      <c r="F200" s="189"/>
      <c r="G200" s="98"/>
      <c r="H200" s="98"/>
    </row>
    <row r="201" spans="1:9" ht="25.2" customHeight="1" x14ac:dyDescent="0.25">
      <c r="B201" s="93" t="s">
        <v>158</v>
      </c>
      <c r="C201" s="193" t="s">
        <v>171</v>
      </c>
      <c r="D201" s="194"/>
      <c r="E201" s="195"/>
    </row>
    <row r="202" spans="1:9" ht="25.2" customHeight="1" x14ac:dyDescent="0.25">
      <c r="B202" s="87" t="s">
        <v>113</v>
      </c>
      <c r="C202" s="199">
        <v>1298501</v>
      </c>
      <c r="D202" s="194"/>
      <c r="E202" s="195"/>
    </row>
    <row r="203" spans="1:9" ht="25.2" customHeight="1" x14ac:dyDescent="0.25">
      <c r="B203" s="87" t="s">
        <v>122</v>
      </c>
      <c r="C203" s="193" t="s">
        <v>159</v>
      </c>
      <c r="D203" s="194"/>
      <c r="E203" s="195"/>
    </row>
    <row r="204" spans="1:9" ht="25.2" customHeight="1" x14ac:dyDescent="0.25">
      <c r="B204" s="87" t="s">
        <v>123</v>
      </c>
      <c r="C204" s="196"/>
      <c r="D204" s="197"/>
      <c r="E204" s="198"/>
    </row>
    <row r="206" spans="1:9" ht="15.75" thickBot="1" x14ac:dyDescent="0.3">
      <c r="I206" s="95" t="s">
        <v>88</v>
      </c>
    </row>
    <row r="207" spans="1:9" ht="23.4" customHeight="1" thickBot="1" x14ac:dyDescent="0.3">
      <c r="B207" s="209" t="str">
        <f>+$B$3</f>
        <v>CÓDIGO INVIMA: 170AC</v>
      </c>
      <c r="C207" s="200" t="s">
        <v>89</v>
      </c>
      <c r="D207" s="200"/>
      <c r="E207" s="201" t="s">
        <v>90</v>
      </c>
      <c r="F207" s="201"/>
      <c r="G207" s="94" t="s">
        <v>67</v>
      </c>
      <c r="H207" s="109" t="str">
        <f>+$H$3</f>
        <v>24</v>
      </c>
      <c r="I207" s="108" t="str">
        <f>+VLOOKUP($G207,$K$2:$M$15,2,FALSE)&amp;$H$3&amp;$H$2</f>
        <v>724CER</v>
      </c>
    </row>
    <row r="208" spans="1:9" ht="25.2" customHeight="1" thickBot="1" x14ac:dyDescent="0.3">
      <c r="B208" s="210"/>
      <c r="C208" s="202"/>
      <c r="D208" s="202"/>
      <c r="E208" s="203" t="str">
        <f>+$F$7&amp;"-"&amp;$I207&amp;"-"&amp;2025</f>
        <v>170AC-724CER-2025</v>
      </c>
      <c r="F208" s="203"/>
      <c r="G208" s="138">
        <f>+VLOOKUP($G207,$K$2:$M$15,2,FALSE)</f>
        <v>7</v>
      </c>
      <c r="H208" s="97"/>
    </row>
    <row r="210" spans="1:9" x14ac:dyDescent="0.25">
      <c r="A210" s="189" t="s">
        <v>91</v>
      </c>
      <c r="B210" s="189"/>
      <c r="C210" s="189"/>
      <c r="D210" s="189"/>
      <c r="E210" s="189"/>
      <c r="F210" s="189"/>
      <c r="G210" s="98"/>
      <c r="H210" s="98"/>
    </row>
    <row r="211" spans="1:9" ht="29.95" customHeight="1" x14ac:dyDescent="0.25">
      <c r="B211" s="87" t="s">
        <v>92</v>
      </c>
      <c r="C211" s="204" t="s">
        <v>135</v>
      </c>
      <c r="D211" s="204"/>
      <c r="E211" s="87" t="s">
        <v>93</v>
      </c>
      <c r="F211" s="88" t="s">
        <v>138</v>
      </c>
    </row>
    <row r="212" spans="1:9" ht="29.95" customHeight="1" x14ac:dyDescent="0.25">
      <c r="B212" s="87" t="s">
        <v>94</v>
      </c>
      <c r="C212" s="204" t="s">
        <v>124</v>
      </c>
      <c r="D212" s="204"/>
      <c r="E212" s="87" t="s">
        <v>95</v>
      </c>
      <c r="F212" s="88" t="s">
        <v>23</v>
      </c>
    </row>
    <row r="213" spans="1:9" ht="29.95" customHeight="1" x14ac:dyDescent="0.25">
      <c r="B213" s="87" t="s">
        <v>96</v>
      </c>
      <c r="C213" s="208" t="s">
        <v>136</v>
      </c>
      <c r="D213" s="208"/>
      <c r="E213" s="87" t="s">
        <v>97</v>
      </c>
      <c r="F213" s="114" t="s">
        <v>125</v>
      </c>
    </row>
    <row r="214" spans="1:9" ht="29.95" customHeight="1" x14ac:dyDescent="0.25">
      <c r="B214" s="87" t="s">
        <v>98</v>
      </c>
      <c r="C214" s="191"/>
      <c r="D214" s="191"/>
      <c r="E214" s="87" t="s">
        <v>99</v>
      </c>
      <c r="F214" s="110"/>
    </row>
    <row r="215" spans="1:9" x14ac:dyDescent="0.25">
      <c r="I215" s="105"/>
    </row>
    <row r="217" spans="1:9" x14ac:dyDescent="0.25">
      <c r="A217" s="189" t="s">
        <v>100</v>
      </c>
      <c r="B217" s="189"/>
      <c r="C217" s="189"/>
      <c r="D217" s="189"/>
      <c r="E217" s="192"/>
      <c r="F217" s="192"/>
      <c r="G217" s="98"/>
      <c r="H217" s="98"/>
    </row>
    <row r="218" spans="1:9" ht="30.15" x14ac:dyDescent="0.25">
      <c r="A218" s="87" t="s">
        <v>101</v>
      </c>
      <c r="B218" s="89" t="s">
        <v>102</v>
      </c>
      <c r="C218" s="89" t="s">
        <v>103</v>
      </c>
      <c r="D218" s="89" t="s">
        <v>104</v>
      </c>
      <c r="E218" s="89" t="s">
        <v>105</v>
      </c>
      <c r="F218" s="89" t="s">
        <v>106</v>
      </c>
      <c r="G218" s="99"/>
      <c r="H218" s="99"/>
    </row>
    <row r="219" spans="1:9" ht="20.149999999999999" customHeight="1" x14ac:dyDescent="0.25">
      <c r="A219" s="90">
        <v>1</v>
      </c>
      <c r="B219" s="91" t="s">
        <v>107</v>
      </c>
      <c r="C219" s="88" t="str">
        <f>+$I$6</f>
        <v>CERDO</v>
      </c>
      <c r="D219" s="91"/>
      <c r="E219" s="88">
        <f>+VLOOKUP($G208,CÁRNICOS!$BW$85:$CA$103,3,FALSE)</f>
        <v>0</v>
      </c>
      <c r="F219" s="91"/>
      <c r="G219" s="100"/>
      <c r="H219" s="100"/>
    </row>
    <row r="220" spans="1:9" ht="20.149999999999999" customHeight="1" x14ac:dyDescent="0.25">
      <c r="A220" s="90">
        <v>2</v>
      </c>
      <c r="B220" s="91" t="s">
        <v>108</v>
      </c>
      <c r="C220" s="91"/>
      <c r="D220" s="91"/>
      <c r="E220" s="91"/>
      <c r="F220" s="91"/>
      <c r="G220" s="100"/>
      <c r="H220" s="100"/>
    </row>
    <row r="222" spans="1:9" x14ac:dyDescent="0.25">
      <c r="A222" s="189" t="s">
        <v>109</v>
      </c>
      <c r="B222" s="189"/>
      <c r="C222" s="189"/>
      <c r="D222" s="189"/>
      <c r="E222" s="192"/>
      <c r="F222" s="192"/>
      <c r="G222" s="98"/>
      <c r="H222" s="98"/>
    </row>
    <row r="223" spans="1:9" ht="25.2" customHeight="1" x14ac:dyDescent="0.25">
      <c r="B223" s="87" t="s">
        <v>110</v>
      </c>
      <c r="C223" s="92"/>
      <c r="D223" s="87" t="s">
        <v>111</v>
      </c>
      <c r="E223" s="206"/>
      <c r="F223" s="206"/>
      <c r="G223" s="101"/>
      <c r="H223" s="101"/>
    </row>
    <row r="224" spans="1:9" ht="25.2" customHeight="1" x14ac:dyDescent="0.25">
      <c r="B224" s="87" t="s">
        <v>112</v>
      </c>
      <c r="C224" s="92"/>
      <c r="D224" s="87" t="s">
        <v>113</v>
      </c>
      <c r="E224" s="206"/>
      <c r="F224" s="206"/>
      <c r="G224" s="101"/>
      <c r="H224" s="101"/>
    </row>
    <row r="225" spans="1:9" ht="25.2" customHeight="1" x14ac:dyDescent="0.25">
      <c r="D225" s="87" t="s">
        <v>97</v>
      </c>
      <c r="E225" s="207"/>
      <c r="F225" s="207"/>
      <c r="G225" s="102"/>
      <c r="H225" s="102"/>
    </row>
    <row r="226" spans="1:9" ht="25.2" customHeight="1" x14ac:dyDescent="0.25">
      <c r="B226" s="87" t="s">
        <v>114</v>
      </c>
      <c r="C226" s="191"/>
      <c r="D226" s="191"/>
      <c r="E226" s="93" t="s">
        <v>115</v>
      </c>
      <c r="F226" s="113"/>
    </row>
    <row r="228" spans="1:9" x14ac:dyDescent="0.25">
      <c r="A228" s="189" t="s">
        <v>116</v>
      </c>
      <c r="B228" s="189"/>
      <c r="C228" s="189"/>
      <c r="D228" s="189"/>
      <c r="E228" s="189"/>
      <c r="F228" s="189"/>
      <c r="G228" s="98"/>
      <c r="H228" s="98"/>
    </row>
    <row r="229" spans="1:9" ht="25.2" customHeight="1" x14ac:dyDescent="0.25">
      <c r="B229" s="93" t="s">
        <v>94</v>
      </c>
      <c r="C229" s="96" t="s">
        <v>124</v>
      </c>
      <c r="D229" s="87" t="s">
        <v>117</v>
      </c>
      <c r="E229" s="190"/>
      <c r="F229" s="190"/>
      <c r="G229" s="103"/>
      <c r="H229" s="103"/>
    </row>
    <row r="230" spans="1:9" ht="25.2" customHeight="1" x14ac:dyDescent="0.25">
      <c r="B230" s="93" t="s">
        <v>95</v>
      </c>
      <c r="C230" s="111" t="str">
        <f>+$G207</f>
        <v>RIOSUCIO</v>
      </c>
      <c r="D230" s="87" t="s">
        <v>118</v>
      </c>
      <c r="E230" s="190"/>
      <c r="F230" s="190"/>
      <c r="G230" s="103"/>
      <c r="H230" s="103"/>
    </row>
    <row r="231" spans="1:9" ht="25.2" customHeight="1" x14ac:dyDescent="0.25">
      <c r="B231" s="93" t="s">
        <v>119</v>
      </c>
      <c r="C231" s="112"/>
      <c r="D231" s="87" t="s">
        <v>153</v>
      </c>
      <c r="E231" s="205" t="str">
        <f>+VLOOKUP($G207,$K$2:$M$15,3,FALSE)</f>
        <v>CALLE 10 # 11-41</v>
      </c>
      <c r="F231" s="205"/>
    </row>
    <row r="232" spans="1:9" ht="25.2" customHeight="1" x14ac:dyDescent="0.25">
      <c r="B232" s="93" t="s">
        <v>120</v>
      </c>
      <c r="C232" s="112"/>
    </row>
    <row r="234" spans="1:9" x14ac:dyDescent="0.25">
      <c r="A234" s="189" t="s">
        <v>121</v>
      </c>
      <c r="B234" s="189"/>
      <c r="C234" s="192"/>
      <c r="D234" s="192"/>
      <c r="E234" s="192"/>
      <c r="F234" s="189"/>
      <c r="G234" s="98"/>
      <c r="H234" s="98"/>
    </row>
    <row r="235" spans="1:9" ht="25.2" customHeight="1" x14ac:dyDescent="0.25">
      <c r="B235" s="93" t="s">
        <v>158</v>
      </c>
      <c r="C235" s="193" t="s">
        <v>171</v>
      </c>
      <c r="D235" s="194"/>
      <c r="E235" s="195"/>
    </row>
    <row r="236" spans="1:9" ht="25.2" customHeight="1" x14ac:dyDescent="0.25">
      <c r="B236" s="87" t="s">
        <v>113</v>
      </c>
      <c r="C236" s="199">
        <v>1298501</v>
      </c>
      <c r="D236" s="194"/>
      <c r="E236" s="195"/>
    </row>
    <row r="237" spans="1:9" ht="25.2" customHeight="1" x14ac:dyDescent="0.25">
      <c r="B237" s="87" t="s">
        <v>122</v>
      </c>
      <c r="C237" s="193" t="s">
        <v>159</v>
      </c>
      <c r="D237" s="194"/>
      <c r="E237" s="195"/>
    </row>
    <row r="238" spans="1:9" ht="25.2" customHeight="1" x14ac:dyDescent="0.25">
      <c r="B238" s="87" t="s">
        <v>123</v>
      </c>
      <c r="C238" s="196"/>
      <c r="D238" s="197"/>
      <c r="E238" s="198"/>
    </row>
    <row r="240" spans="1:9" ht="15.75" thickBot="1" x14ac:dyDescent="0.3">
      <c r="I240" s="95" t="s">
        <v>88</v>
      </c>
    </row>
    <row r="241" spans="1:9" ht="23.4" customHeight="1" thickBot="1" x14ac:dyDescent="0.3">
      <c r="B241" s="209" t="str">
        <f>+$B$3</f>
        <v>CÓDIGO INVIMA: 170AC</v>
      </c>
      <c r="C241" s="200" t="s">
        <v>89</v>
      </c>
      <c r="D241" s="200"/>
      <c r="E241" s="201" t="s">
        <v>90</v>
      </c>
      <c r="F241" s="201"/>
      <c r="G241" s="94" t="s">
        <v>32</v>
      </c>
      <c r="H241" s="109" t="str">
        <f>+$H$3</f>
        <v>24</v>
      </c>
      <c r="I241" s="108" t="str">
        <f>+VLOOKUP($G241,$K$2:$M$15,2,FALSE)&amp;$H$3&amp;$H$2</f>
        <v>824CER</v>
      </c>
    </row>
    <row r="242" spans="1:9" ht="25.2" customHeight="1" thickBot="1" x14ac:dyDescent="0.3">
      <c r="B242" s="210"/>
      <c r="C242" s="202"/>
      <c r="D242" s="202"/>
      <c r="E242" s="203" t="str">
        <f>+$F$7&amp;"-"&amp;$I241&amp;"-"&amp;2025</f>
        <v>170AC-824CER-2025</v>
      </c>
      <c r="F242" s="203"/>
      <c r="G242" s="138">
        <f>+VLOOKUP($G241,$K$2:$M$15,2,FALSE)</f>
        <v>8</v>
      </c>
      <c r="H242" s="97"/>
    </row>
    <row r="244" spans="1:9" x14ac:dyDescent="0.25">
      <c r="A244" s="189" t="s">
        <v>91</v>
      </c>
      <c r="B244" s="189"/>
      <c r="C244" s="189"/>
      <c r="D244" s="189"/>
      <c r="E244" s="189"/>
      <c r="F244" s="189"/>
      <c r="G244" s="98"/>
      <c r="H244" s="98"/>
    </row>
    <row r="245" spans="1:9" ht="29.95" customHeight="1" x14ac:dyDescent="0.25">
      <c r="B245" s="87" t="s">
        <v>92</v>
      </c>
      <c r="C245" s="204" t="s">
        <v>135</v>
      </c>
      <c r="D245" s="204"/>
      <c r="E245" s="87" t="s">
        <v>93</v>
      </c>
      <c r="F245" s="88" t="s">
        <v>138</v>
      </c>
    </row>
    <row r="246" spans="1:9" ht="29.95" customHeight="1" x14ac:dyDescent="0.25">
      <c r="B246" s="87" t="s">
        <v>94</v>
      </c>
      <c r="C246" s="204" t="s">
        <v>124</v>
      </c>
      <c r="D246" s="204"/>
      <c r="E246" s="87" t="s">
        <v>95</v>
      </c>
      <c r="F246" s="88" t="s">
        <v>23</v>
      </c>
    </row>
    <row r="247" spans="1:9" ht="29.95" customHeight="1" x14ac:dyDescent="0.25">
      <c r="B247" s="87" t="s">
        <v>96</v>
      </c>
      <c r="C247" s="208" t="s">
        <v>136</v>
      </c>
      <c r="D247" s="208"/>
      <c r="E247" s="87" t="s">
        <v>97</v>
      </c>
      <c r="F247" s="114" t="s">
        <v>125</v>
      </c>
    </row>
    <row r="248" spans="1:9" ht="29.95" customHeight="1" x14ac:dyDescent="0.25">
      <c r="B248" s="87" t="s">
        <v>98</v>
      </c>
      <c r="C248" s="191"/>
      <c r="D248" s="191"/>
      <c r="E248" s="87" t="s">
        <v>99</v>
      </c>
      <c r="F248" s="110"/>
    </row>
    <row r="249" spans="1:9" x14ac:dyDescent="0.25">
      <c r="I249" s="105"/>
    </row>
    <row r="251" spans="1:9" x14ac:dyDescent="0.25">
      <c r="A251" s="189" t="s">
        <v>100</v>
      </c>
      <c r="B251" s="189"/>
      <c r="C251" s="189"/>
      <c r="D251" s="189"/>
      <c r="E251" s="192"/>
      <c r="F251" s="192"/>
      <c r="G251" s="98"/>
      <c r="H251" s="98"/>
    </row>
    <row r="252" spans="1:9" ht="30.15" x14ac:dyDescent="0.25">
      <c r="A252" s="87" t="s">
        <v>101</v>
      </c>
      <c r="B252" s="89" t="s">
        <v>102</v>
      </c>
      <c r="C252" s="89" t="s">
        <v>103</v>
      </c>
      <c r="D252" s="89" t="s">
        <v>104</v>
      </c>
      <c r="E252" s="89" t="s">
        <v>105</v>
      </c>
      <c r="F252" s="89" t="s">
        <v>106</v>
      </c>
      <c r="G252" s="99"/>
      <c r="H252" s="99"/>
    </row>
    <row r="253" spans="1:9" ht="20.149999999999999" customHeight="1" x14ac:dyDescent="0.25">
      <c r="A253" s="90">
        <v>1</v>
      </c>
      <c r="B253" s="91" t="s">
        <v>107</v>
      </c>
      <c r="C253" s="88" t="str">
        <f>+$I$6</f>
        <v>CERDO</v>
      </c>
      <c r="D253" s="91"/>
      <c r="E253" s="88">
        <f>+VLOOKUP($G242,CÁRNICOS!$BW$85:$CA$103,3,FALSE)</f>
        <v>0</v>
      </c>
      <c r="F253" s="91"/>
      <c r="G253" s="100"/>
      <c r="H253" s="100"/>
    </row>
    <row r="254" spans="1:9" ht="20.149999999999999" customHeight="1" x14ac:dyDescent="0.25">
      <c r="A254" s="90">
        <v>2</v>
      </c>
      <c r="B254" s="91" t="s">
        <v>108</v>
      </c>
      <c r="C254" s="91"/>
      <c r="D254" s="91"/>
      <c r="E254" s="91"/>
      <c r="F254" s="91"/>
      <c r="G254" s="100"/>
      <c r="H254" s="100"/>
    </row>
    <row r="256" spans="1:9" x14ac:dyDescent="0.25">
      <c r="A256" s="189" t="s">
        <v>109</v>
      </c>
      <c r="B256" s="189"/>
      <c r="C256" s="189"/>
      <c r="D256" s="189"/>
      <c r="E256" s="192"/>
      <c r="F256" s="192"/>
      <c r="G256" s="98"/>
      <c r="H256" s="98"/>
    </row>
    <row r="257" spans="1:8" ht="25.2" customHeight="1" x14ac:dyDescent="0.25">
      <c r="B257" s="87" t="s">
        <v>110</v>
      </c>
      <c r="C257" s="92"/>
      <c r="D257" s="87" t="s">
        <v>111</v>
      </c>
      <c r="E257" s="206"/>
      <c r="F257" s="206"/>
      <c r="G257" s="101"/>
      <c r="H257" s="101"/>
    </row>
    <row r="258" spans="1:8" ht="25.2" customHeight="1" x14ac:dyDescent="0.25">
      <c r="B258" s="87" t="s">
        <v>112</v>
      </c>
      <c r="C258" s="92"/>
      <c r="D258" s="87" t="s">
        <v>113</v>
      </c>
      <c r="E258" s="206"/>
      <c r="F258" s="206"/>
      <c r="G258" s="101"/>
      <c r="H258" s="101"/>
    </row>
    <row r="259" spans="1:8" ht="25.2" customHeight="1" x14ac:dyDescent="0.25">
      <c r="D259" s="87" t="s">
        <v>97</v>
      </c>
      <c r="E259" s="207"/>
      <c r="F259" s="207"/>
      <c r="G259" s="102"/>
      <c r="H259" s="102"/>
    </row>
    <row r="260" spans="1:8" ht="25.2" customHeight="1" x14ac:dyDescent="0.25">
      <c r="B260" s="87" t="s">
        <v>114</v>
      </c>
      <c r="C260" s="191"/>
      <c r="D260" s="191"/>
      <c r="E260" s="93" t="s">
        <v>115</v>
      </c>
      <c r="F260" s="113"/>
    </row>
    <row r="262" spans="1:8" x14ac:dyDescent="0.25">
      <c r="A262" s="189" t="s">
        <v>116</v>
      </c>
      <c r="B262" s="189"/>
      <c r="C262" s="189"/>
      <c r="D262" s="189"/>
      <c r="E262" s="189"/>
      <c r="F262" s="189"/>
      <c r="G262" s="98"/>
      <c r="H262" s="98"/>
    </row>
    <row r="263" spans="1:8" ht="25.2" customHeight="1" x14ac:dyDescent="0.25">
      <c r="B263" s="93" t="s">
        <v>94</v>
      </c>
      <c r="C263" s="96" t="s">
        <v>124</v>
      </c>
      <c r="D263" s="87" t="s">
        <v>117</v>
      </c>
      <c r="E263" s="190"/>
      <c r="F263" s="190"/>
      <c r="G263" s="103"/>
      <c r="H263" s="103"/>
    </row>
    <row r="264" spans="1:8" ht="25.2" customHeight="1" x14ac:dyDescent="0.25">
      <c r="B264" s="93" t="s">
        <v>95</v>
      </c>
      <c r="C264" s="111" t="str">
        <f>+$G241</f>
        <v>ANSERMA</v>
      </c>
      <c r="D264" s="87" t="s">
        <v>118</v>
      </c>
      <c r="E264" s="190"/>
      <c r="F264" s="190"/>
      <c r="G264" s="103"/>
      <c r="H264" s="103"/>
    </row>
    <row r="265" spans="1:8" ht="25.2" customHeight="1" x14ac:dyDescent="0.25">
      <c r="B265" s="93" t="s">
        <v>119</v>
      </c>
      <c r="C265" s="112"/>
      <c r="D265" s="87" t="s">
        <v>153</v>
      </c>
      <c r="E265" s="205" t="str">
        <f>+VLOOKUP($G241,$K$2:$M$15,3,FALSE)</f>
        <v>CRA 4 # 24 - 103</v>
      </c>
      <c r="F265" s="205"/>
    </row>
    <row r="266" spans="1:8" ht="25.2" customHeight="1" x14ac:dyDescent="0.25">
      <c r="B266" s="93" t="s">
        <v>120</v>
      </c>
      <c r="C266" s="112"/>
    </row>
    <row r="268" spans="1:8" x14ac:dyDescent="0.25">
      <c r="A268" s="189" t="s">
        <v>121</v>
      </c>
      <c r="B268" s="189"/>
      <c r="C268" s="192"/>
      <c r="D268" s="192"/>
      <c r="E268" s="192"/>
      <c r="F268" s="189"/>
      <c r="G268" s="98"/>
      <c r="H268" s="98"/>
    </row>
    <row r="269" spans="1:8" ht="25.2" customHeight="1" x14ac:dyDescent="0.25">
      <c r="B269" s="93" t="s">
        <v>158</v>
      </c>
      <c r="C269" s="193" t="s">
        <v>171</v>
      </c>
      <c r="D269" s="194"/>
      <c r="E269" s="195"/>
    </row>
    <row r="270" spans="1:8" ht="25.2" customHeight="1" x14ac:dyDescent="0.25">
      <c r="B270" s="87" t="s">
        <v>113</v>
      </c>
      <c r="C270" s="199">
        <v>1298501</v>
      </c>
      <c r="D270" s="194"/>
      <c r="E270" s="195"/>
    </row>
    <row r="271" spans="1:8" ht="25.2" customHeight="1" x14ac:dyDescent="0.25">
      <c r="B271" s="87" t="s">
        <v>122</v>
      </c>
      <c r="C271" s="193" t="s">
        <v>159</v>
      </c>
      <c r="D271" s="194"/>
      <c r="E271" s="195"/>
    </row>
    <row r="272" spans="1:8" ht="25.2" customHeight="1" x14ac:dyDescent="0.25">
      <c r="B272" s="87" t="s">
        <v>123</v>
      </c>
      <c r="C272" s="196"/>
      <c r="D272" s="197"/>
      <c r="E272" s="198"/>
    </row>
    <row r="274" spans="1:9" ht="15.75" thickBot="1" x14ac:dyDescent="0.3">
      <c r="I274" s="95" t="s">
        <v>88</v>
      </c>
    </row>
    <row r="275" spans="1:9" ht="23.4" customHeight="1" thickBot="1" x14ac:dyDescent="0.3">
      <c r="B275" s="209" t="str">
        <f>+$B$3</f>
        <v>CÓDIGO INVIMA: 170AC</v>
      </c>
      <c r="C275" s="200" t="s">
        <v>89</v>
      </c>
      <c r="D275" s="200"/>
      <c r="E275" s="201" t="s">
        <v>90</v>
      </c>
      <c r="F275" s="201"/>
      <c r="G275" s="94" t="s">
        <v>33</v>
      </c>
      <c r="H275" s="109" t="str">
        <f>+$H$3</f>
        <v>24</v>
      </c>
      <c r="I275" s="108" t="str">
        <f>+VLOOKUP($G275,$K$2:$M$15,2,FALSE)&amp;$H$3&amp;$H$2</f>
        <v>924CER</v>
      </c>
    </row>
    <row r="276" spans="1:9" ht="25.2" customHeight="1" thickBot="1" x14ac:dyDescent="0.3">
      <c r="B276" s="210"/>
      <c r="C276" s="202"/>
      <c r="D276" s="202"/>
      <c r="E276" s="203" t="str">
        <f>+$F$7&amp;"-"&amp;$I275&amp;"-"&amp;2025</f>
        <v>170AC-924CER-2025</v>
      </c>
      <c r="F276" s="203"/>
      <c r="G276" s="138">
        <f>+VLOOKUP($G275,$K$2:$M$15,2,FALSE)</f>
        <v>9</v>
      </c>
      <c r="H276" s="97"/>
    </row>
    <row r="278" spans="1:9" x14ac:dyDescent="0.25">
      <c r="A278" s="189" t="s">
        <v>91</v>
      </c>
      <c r="B278" s="189"/>
      <c r="C278" s="189"/>
      <c r="D278" s="189"/>
      <c r="E278" s="189"/>
      <c r="F278" s="189"/>
      <c r="G278" s="98"/>
      <c r="H278" s="98"/>
    </row>
    <row r="279" spans="1:9" ht="29.95" customHeight="1" x14ac:dyDescent="0.25">
      <c r="B279" s="87" t="s">
        <v>92</v>
      </c>
      <c r="C279" s="204" t="s">
        <v>135</v>
      </c>
      <c r="D279" s="204"/>
      <c r="E279" s="87" t="s">
        <v>93</v>
      </c>
      <c r="F279" s="88" t="s">
        <v>138</v>
      </c>
    </row>
    <row r="280" spans="1:9" ht="29.95" customHeight="1" x14ac:dyDescent="0.25">
      <c r="B280" s="87" t="s">
        <v>94</v>
      </c>
      <c r="C280" s="204" t="s">
        <v>124</v>
      </c>
      <c r="D280" s="204"/>
      <c r="E280" s="87" t="s">
        <v>95</v>
      </c>
      <c r="F280" s="88" t="s">
        <v>23</v>
      </c>
    </row>
    <row r="281" spans="1:9" ht="29.95" customHeight="1" x14ac:dyDescent="0.25">
      <c r="B281" s="87" t="s">
        <v>96</v>
      </c>
      <c r="C281" s="208" t="s">
        <v>136</v>
      </c>
      <c r="D281" s="208"/>
      <c r="E281" s="87" t="s">
        <v>97</v>
      </c>
      <c r="F281" s="114" t="s">
        <v>125</v>
      </c>
    </row>
    <row r="282" spans="1:9" ht="29.95" customHeight="1" x14ac:dyDescent="0.25">
      <c r="B282" s="87" t="s">
        <v>98</v>
      </c>
      <c r="C282" s="191"/>
      <c r="D282" s="191"/>
      <c r="E282" s="87" t="s">
        <v>99</v>
      </c>
      <c r="F282" s="110"/>
    </row>
    <row r="283" spans="1:9" x14ac:dyDescent="0.25">
      <c r="I283" s="105"/>
    </row>
    <row r="285" spans="1:9" x14ac:dyDescent="0.25">
      <c r="A285" s="189" t="s">
        <v>100</v>
      </c>
      <c r="B285" s="189"/>
      <c r="C285" s="189"/>
      <c r="D285" s="189"/>
      <c r="E285" s="192"/>
      <c r="F285" s="192"/>
      <c r="G285" s="98"/>
      <c r="H285" s="98"/>
    </row>
    <row r="286" spans="1:9" ht="30.15" x14ac:dyDescent="0.25">
      <c r="A286" s="87" t="s">
        <v>101</v>
      </c>
      <c r="B286" s="89" t="s">
        <v>102</v>
      </c>
      <c r="C286" s="89" t="s">
        <v>103</v>
      </c>
      <c r="D286" s="89" t="s">
        <v>104</v>
      </c>
      <c r="E286" s="89" t="s">
        <v>105</v>
      </c>
      <c r="F286" s="89" t="s">
        <v>106</v>
      </c>
      <c r="G286" s="99"/>
      <c r="H286" s="99"/>
    </row>
    <row r="287" spans="1:9" ht="20.149999999999999" customHeight="1" x14ac:dyDescent="0.25">
      <c r="A287" s="90">
        <v>1</v>
      </c>
      <c r="B287" s="91" t="s">
        <v>107</v>
      </c>
      <c r="C287" s="88" t="str">
        <f>+$I$6</f>
        <v>CERDO</v>
      </c>
      <c r="D287" s="91"/>
      <c r="E287" s="88">
        <f>+VLOOKUP($G276,CÁRNICOS!$BW$85:$CA$103,3,FALSE)</f>
        <v>0</v>
      </c>
      <c r="F287" s="91"/>
      <c r="G287" s="100"/>
      <c r="H287" s="100"/>
    </row>
    <row r="288" spans="1:9" ht="20.149999999999999" customHeight="1" x14ac:dyDescent="0.25">
      <c r="A288" s="90">
        <v>2</v>
      </c>
      <c r="B288" s="91" t="s">
        <v>108</v>
      </c>
      <c r="C288" s="91"/>
      <c r="D288" s="91"/>
      <c r="E288" s="91"/>
      <c r="F288" s="91"/>
      <c r="G288" s="100"/>
      <c r="H288" s="100"/>
    </row>
    <row r="290" spans="1:8" x14ac:dyDescent="0.25">
      <c r="A290" s="189" t="s">
        <v>109</v>
      </c>
      <c r="B290" s="189"/>
      <c r="C290" s="189"/>
      <c r="D290" s="189"/>
      <c r="E290" s="192"/>
      <c r="F290" s="192"/>
      <c r="G290" s="98"/>
      <c r="H290" s="98"/>
    </row>
    <row r="291" spans="1:8" ht="25.2" customHeight="1" x14ac:dyDescent="0.25">
      <c r="B291" s="87" t="s">
        <v>110</v>
      </c>
      <c r="C291" s="92"/>
      <c r="D291" s="87" t="s">
        <v>111</v>
      </c>
      <c r="E291" s="206"/>
      <c r="F291" s="206"/>
      <c r="G291" s="101"/>
      <c r="H291" s="101"/>
    </row>
    <row r="292" spans="1:8" ht="25.2" customHeight="1" x14ac:dyDescent="0.25">
      <c r="B292" s="87" t="s">
        <v>112</v>
      </c>
      <c r="C292" s="92"/>
      <c r="D292" s="87" t="s">
        <v>113</v>
      </c>
      <c r="E292" s="206"/>
      <c r="F292" s="206"/>
      <c r="G292" s="101"/>
      <c r="H292" s="101"/>
    </row>
    <row r="293" spans="1:8" ht="25.2" customHeight="1" x14ac:dyDescent="0.25">
      <c r="D293" s="87" t="s">
        <v>97</v>
      </c>
      <c r="E293" s="207"/>
      <c r="F293" s="207"/>
      <c r="G293" s="102"/>
      <c r="H293" s="102"/>
    </row>
    <row r="294" spans="1:8" ht="25.2" customHeight="1" x14ac:dyDescent="0.25">
      <c r="B294" s="87" t="s">
        <v>114</v>
      </c>
      <c r="C294" s="191"/>
      <c r="D294" s="191"/>
      <c r="E294" s="93" t="s">
        <v>115</v>
      </c>
      <c r="F294" s="113"/>
    </row>
    <row r="296" spans="1:8" x14ac:dyDescent="0.25">
      <c r="A296" s="189" t="s">
        <v>116</v>
      </c>
      <c r="B296" s="189"/>
      <c r="C296" s="189"/>
      <c r="D296" s="189"/>
      <c r="E296" s="189"/>
      <c r="F296" s="189"/>
      <c r="G296" s="98"/>
      <c r="H296" s="98"/>
    </row>
    <row r="297" spans="1:8" ht="25.2" customHeight="1" x14ac:dyDescent="0.25">
      <c r="B297" s="93" t="s">
        <v>94</v>
      </c>
      <c r="C297" s="96" t="s">
        <v>124</v>
      </c>
      <c r="D297" s="87" t="s">
        <v>117</v>
      </c>
      <c r="E297" s="190"/>
      <c r="F297" s="190"/>
      <c r="G297" s="103"/>
      <c r="H297" s="103"/>
    </row>
    <row r="298" spans="1:8" ht="25.2" customHeight="1" x14ac:dyDescent="0.25">
      <c r="B298" s="93" t="s">
        <v>95</v>
      </c>
      <c r="C298" s="111" t="str">
        <f>+$G275</f>
        <v>BELALCÁZAR</v>
      </c>
      <c r="D298" s="87" t="s">
        <v>118</v>
      </c>
      <c r="E298" s="190"/>
      <c r="F298" s="190"/>
      <c r="G298" s="103"/>
      <c r="H298" s="103"/>
    </row>
    <row r="299" spans="1:8" ht="25.2" customHeight="1" x14ac:dyDescent="0.25">
      <c r="B299" s="93" t="s">
        <v>119</v>
      </c>
      <c r="C299" s="112"/>
      <c r="D299" s="87" t="s">
        <v>153</v>
      </c>
      <c r="E299" s="205" t="str">
        <f>+VLOOKUP($G275,$K$2:$M$15,3,FALSE)</f>
        <v>LA HABANA, MANZANA 1 CASA 8</v>
      </c>
      <c r="F299" s="205"/>
    </row>
    <row r="300" spans="1:8" ht="25.2" customHeight="1" x14ac:dyDescent="0.25">
      <c r="B300" s="93" t="s">
        <v>120</v>
      </c>
      <c r="C300" s="112"/>
    </row>
    <row r="302" spans="1:8" x14ac:dyDescent="0.25">
      <c r="A302" s="189" t="s">
        <v>121</v>
      </c>
      <c r="B302" s="189"/>
      <c r="C302" s="192"/>
      <c r="D302" s="192"/>
      <c r="E302" s="192"/>
      <c r="F302" s="189"/>
      <c r="G302" s="98"/>
      <c r="H302" s="98"/>
    </row>
    <row r="303" spans="1:8" ht="25.2" customHeight="1" x14ac:dyDescent="0.25">
      <c r="B303" s="93" t="s">
        <v>158</v>
      </c>
      <c r="C303" s="193" t="s">
        <v>171</v>
      </c>
      <c r="D303" s="194"/>
      <c r="E303" s="195"/>
    </row>
    <row r="304" spans="1:8" ht="25.2" customHeight="1" x14ac:dyDescent="0.25">
      <c r="B304" s="87" t="s">
        <v>113</v>
      </c>
      <c r="C304" s="199">
        <v>1298501</v>
      </c>
      <c r="D304" s="194"/>
      <c r="E304" s="195"/>
    </row>
    <row r="305" spans="1:9" ht="25.2" customHeight="1" x14ac:dyDescent="0.25">
      <c r="B305" s="87" t="s">
        <v>122</v>
      </c>
      <c r="C305" s="193" t="s">
        <v>159</v>
      </c>
      <c r="D305" s="194"/>
      <c r="E305" s="195"/>
    </row>
    <row r="306" spans="1:9" ht="25.2" customHeight="1" x14ac:dyDescent="0.25">
      <c r="B306" s="87" t="s">
        <v>123</v>
      </c>
      <c r="C306" s="196"/>
      <c r="D306" s="197"/>
      <c r="E306" s="198"/>
    </row>
    <row r="308" spans="1:9" ht="15.75" thickBot="1" x14ac:dyDescent="0.3">
      <c r="I308" s="95" t="s">
        <v>88</v>
      </c>
    </row>
    <row r="309" spans="1:9" ht="23.4" customHeight="1" thickBot="1" x14ac:dyDescent="0.3">
      <c r="B309" s="209" t="str">
        <f>+$B$3</f>
        <v>CÓDIGO INVIMA: 170AC</v>
      </c>
      <c r="C309" s="200" t="s">
        <v>89</v>
      </c>
      <c r="D309" s="200"/>
      <c r="E309" s="201" t="s">
        <v>90</v>
      </c>
      <c r="F309" s="201"/>
      <c r="G309" s="94" t="s">
        <v>38</v>
      </c>
      <c r="H309" s="109" t="str">
        <f>+$H$3</f>
        <v>24</v>
      </c>
      <c r="I309" s="108" t="str">
        <f>+VLOOKUP($G309,$K$2:$M$15,2,FALSE)&amp;$H$3&amp;$H$2</f>
        <v>1024CER</v>
      </c>
    </row>
    <row r="310" spans="1:9" ht="25.2" customHeight="1" thickBot="1" x14ac:dyDescent="0.3">
      <c r="B310" s="210"/>
      <c r="C310" s="202"/>
      <c r="D310" s="202"/>
      <c r="E310" s="203" t="str">
        <f>+$F$7&amp;"-"&amp;$I309&amp;"-"&amp;2025</f>
        <v>170AC-1024CER-2025</v>
      </c>
      <c r="F310" s="203"/>
      <c r="G310" s="138">
        <f>+VLOOKUP($G309,$K$2:$M$15,2,FALSE)</f>
        <v>10</v>
      </c>
      <c r="H310" s="97"/>
    </row>
    <row r="312" spans="1:9" x14ac:dyDescent="0.25">
      <c r="A312" s="189" t="s">
        <v>91</v>
      </c>
      <c r="B312" s="189"/>
      <c r="C312" s="189"/>
      <c r="D312" s="189"/>
      <c r="E312" s="189"/>
      <c r="F312" s="189"/>
      <c r="G312" s="98"/>
      <c r="H312" s="98"/>
    </row>
    <row r="313" spans="1:9" ht="29.95" customHeight="1" x14ac:dyDescent="0.25">
      <c r="B313" s="87" t="s">
        <v>92</v>
      </c>
      <c r="C313" s="204" t="s">
        <v>135</v>
      </c>
      <c r="D313" s="204"/>
      <c r="E313" s="87" t="s">
        <v>93</v>
      </c>
      <c r="F313" s="88" t="s">
        <v>138</v>
      </c>
    </row>
    <row r="314" spans="1:9" ht="29.95" customHeight="1" x14ac:dyDescent="0.25">
      <c r="B314" s="87" t="s">
        <v>94</v>
      </c>
      <c r="C314" s="204" t="s">
        <v>124</v>
      </c>
      <c r="D314" s="204"/>
      <c r="E314" s="87" t="s">
        <v>95</v>
      </c>
      <c r="F314" s="88" t="s">
        <v>23</v>
      </c>
    </row>
    <row r="315" spans="1:9" ht="29.95" customHeight="1" x14ac:dyDescent="0.25">
      <c r="B315" s="87" t="s">
        <v>96</v>
      </c>
      <c r="C315" s="208" t="s">
        <v>136</v>
      </c>
      <c r="D315" s="208"/>
      <c r="E315" s="87" t="s">
        <v>97</v>
      </c>
      <c r="F315" s="114" t="s">
        <v>125</v>
      </c>
    </row>
    <row r="316" spans="1:9" ht="29.95" customHeight="1" x14ac:dyDescent="0.25">
      <c r="B316" s="87" t="s">
        <v>98</v>
      </c>
      <c r="C316" s="191"/>
      <c r="D316" s="191"/>
      <c r="E316" s="87" t="s">
        <v>99</v>
      </c>
      <c r="F316" s="110"/>
    </row>
    <row r="317" spans="1:9" x14ac:dyDescent="0.25">
      <c r="I317" s="105"/>
    </row>
    <row r="319" spans="1:9" x14ac:dyDescent="0.25">
      <c r="A319" s="189" t="s">
        <v>100</v>
      </c>
      <c r="B319" s="189"/>
      <c r="C319" s="189"/>
      <c r="D319" s="189"/>
      <c r="E319" s="192"/>
      <c r="F319" s="192"/>
      <c r="G319" s="98"/>
      <c r="H319" s="98"/>
    </row>
    <row r="320" spans="1:9" ht="30.15" x14ac:dyDescent="0.25">
      <c r="A320" s="87" t="s">
        <v>101</v>
      </c>
      <c r="B320" s="89" t="s">
        <v>102</v>
      </c>
      <c r="C320" s="89" t="s">
        <v>103</v>
      </c>
      <c r="D320" s="89" t="s">
        <v>104</v>
      </c>
      <c r="E320" s="89" t="s">
        <v>105</v>
      </c>
      <c r="F320" s="89" t="s">
        <v>106</v>
      </c>
      <c r="G320" s="99"/>
      <c r="H320" s="99"/>
    </row>
    <row r="321" spans="1:8" ht="20.149999999999999" customHeight="1" x14ac:dyDescent="0.25">
      <c r="A321" s="90">
        <v>1</v>
      </c>
      <c r="B321" s="91" t="s">
        <v>107</v>
      </c>
      <c r="C321" s="88" t="str">
        <f>+$I$6</f>
        <v>CERDO</v>
      </c>
      <c r="D321" s="91"/>
      <c r="E321" s="88">
        <f>+VLOOKUP($G310,CÁRNICOS!$BW$85:$CA$103,3,FALSE)</f>
        <v>0</v>
      </c>
      <c r="F321" s="91"/>
      <c r="G321" s="100"/>
      <c r="H321" s="100"/>
    </row>
    <row r="322" spans="1:8" ht="20.149999999999999" customHeight="1" x14ac:dyDescent="0.25">
      <c r="A322" s="90">
        <v>2</v>
      </c>
      <c r="B322" s="91" t="s">
        <v>108</v>
      </c>
      <c r="C322" s="91"/>
      <c r="D322" s="91"/>
      <c r="E322" s="91"/>
      <c r="F322" s="91"/>
      <c r="G322" s="100"/>
      <c r="H322" s="100"/>
    </row>
    <row r="324" spans="1:8" x14ac:dyDescent="0.25">
      <c r="A324" s="189" t="s">
        <v>109</v>
      </c>
      <c r="B324" s="189"/>
      <c r="C324" s="189"/>
      <c r="D324" s="189"/>
      <c r="E324" s="192"/>
      <c r="F324" s="192"/>
      <c r="G324" s="98"/>
      <c r="H324" s="98"/>
    </row>
    <row r="325" spans="1:8" ht="25.2" customHeight="1" x14ac:dyDescent="0.25">
      <c r="B325" s="87" t="s">
        <v>110</v>
      </c>
      <c r="C325" s="92"/>
      <c r="D325" s="87" t="s">
        <v>111</v>
      </c>
      <c r="E325" s="206"/>
      <c r="F325" s="206"/>
      <c r="G325" s="101"/>
      <c r="H325" s="101"/>
    </row>
    <row r="326" spans="1:8" ht="25.2" customHeight="1" x14ac:dyDescent="0.25">
      <c r="B326" s="87" t="s">
        <v>112</v>
      </c>
      <c r="C326" s="92"/>
      <c r="D326" s="87" t="s">
        <v>113</v>
      </c>
      <c r="E326" s="206"/>
      <c r="F326" s="206"/>
      <c r="G326" s="101"/>
      <c r="H326" s="101"/>
    </row>
    <row r="327" spans="1:8" ht="25.2" customHeight="1" x14ac:dyDescent="0.25">
      <c r="D327" s="87" t="s">
        <v>97</v>
      </c>
      <c r="E327" s="207"/>
      <c r="F327" s="207"/>
      <c r="G327" s="102"/>
      <c r="H327" s="102"/>
    </row>
    <row r="328" spans="1:8" ht="25.2" customHeight="1" x14ac:dyDescent="0.25">
      <c r="B328" s="87" t="s">
        <v>114</v>
      </c>
      <c r="C328" s="191"/>
      <c r="D328" s="191"/>
      <c r="E328" s="93" t="s">
        <v>115</v>
      </c>
      <c r="F328" s="113"/>
    </row>
    <row r="330" spans="1:8" x14ac:dyDescent="0.25">
      <c r="A330" s="189" t="s">
        <v>116</v>
      </c>
      <c r="B330" s="189"/>
      <c r="C330" s="189"/>
      <c r="D330" s="189"/>
      <c r="E330" s="189"/>
      <c r="F330" s="189"/>
      <c r="G330" s="98"/>
      <c r="H330" s="98"/>
    </row>
    <row r="331" spans="1:8" ht="25.2" customHeight="1" x14ac:dyDescent="0.25">
      <c r="B331" s="93" t="s">
        <v>94</v>
      </c>
      <c r="C331" s="96" t="s">
        <v>124</v>
      </c>
      <c r="D331" s="87" t="s">
        <v>117</v>
      </c>
      <c r="E331" s="190"/>
      <c r="F331" s="190"/>
      <c r="G331" s="103"/>
      <c r="H331" s="103"/>
    </row>
    <row r="332" spans="1:8" ht="25.2" customHeight="1" x14ac:dyDescent="0.25">
      <c r="B332" s="93" t="s">
        <v>95</v>
      </c>
      <c r="C332" s="111" t="str">
        <f>+$G309</f>
        <v>AGUADAS</v>
      </c>
      <c r="D332" s="87" t="s">
        <v>118</v>
      </c>
      <c r="E332" s="190"/>
      <c r="F332" s="190"/>
      <c r="G332" s="103"/>
      <c r="H332" s="103"/>
    </row>
    <row r="333" spans="1:8" ht="25.2" customHeight="1" x14ac:dyDescent="0.25">
      <c r="B333" s="93" t="s">
        <v>119</v>
      </c>
      <c r="C333" s="112"/>
      <c r="D333" s="87" t="s">
        <v>153</v>
      </c>
      <c r="E333" s="205" t="str">
        <f>+VLOOKUP($G309,$K$2:$M$15,3,FALSE)</f>
        <v>CRA 7 ENTRE CALLE 13 Y 14</v>
      </c>
      <c r="F333" s="205"/>
    </row>
    <row r="334" spans="1:8" ht="25.2" customHeight="1" x14ac:dyDescent="0.25">
      <c r="B334" s="93" t="s">
        <v>120</v>
      </c>
      <c r="C334" s="112"/>
    </row>
    <row r="336" spans="1:8" x14ac:dyDescent="0.25">
      <c r="A336" s="189" t="s">
        <v>121</v>
      </c>
      <c r="B336" s="189"/>
      <c r="C336" s="192"/>
      <c r="D336" s="192"/>
      <c r="E336" s="192"/>
      <c r="F336" s="189"/>
      <c r="G336" s="98"/>
      <c r="H336" s="98"/>
    </row>
    <row r="337" spans="1:9" ht="25.2" customHeight="1" x14ac:dyDescent="0.25">
      <c r="B337" s="93" t="s">
        <v>158</v>
      </c>
      <c r="C337" s="193" t="s">
        <v>171</v>
      </c>
      <c r="D337" s="194"/>
      <c r="E337" s="195"/>
    </row>
    <row r="338" spans="1:9" ht="25.2" customHeight="1" x14ac:dyDescent="0.25">
      <c r="B338" s="87" t="s">
        <v>113</v>
      </c>
      <c r="C338" s="199">
        <v>1298501</v>
      </c>
      <c r="D338" s="194"/>
      <c r="E338" s="195"/>
    </row>
    <row r="339" spans="1:9" ht="25.2" customHeight="1" x14ac:dyDescent="0.25">
      <c r="B339" s="87" t="s">
        <v>122</v>
      </c>
      <c r="C339" s="193" t="s">
        <v>159</v>
      </c>
      <c r="D339" s="194"/>
      <c r="E339" s="195"/>
    </row>
    <row r="340" spans="1:9" ht="25.2" customHeight="1" x14ac:dyDescent="0.25">
      <c r="B340" s="87" t="s">
        <v>123</v>
      </c>
      <c r="C340" s="196"/>
      <c r="D340" s="197"/>
      <c r="E340" s="198"/>
    </row>
    <row r="342" spans="1:9" ht="15.75" thickBot="1" x14ac:dyDescent="0.3">
      <c r="I342" s="95" t="s">
        <v>88</v>
      </c>
    </row>
    <row r="343" spans="1:9" ht="23.4" customHeight="1" thickBot="1" x14ac:dyDescent="0.3">
      <c r="B343" s="209" t="str">
        <f>+$B$3</f>
        <v>CÓDIGO INVIMA: 170AC</v>
      </c>
      <c r="C343" s="200" t="s">
        <v>89</v>
      </c>
      <c r="D343" s="200"/>
      <c r="E343" s="201" t="s">
        <v>90</v>
      </c>
      <c r="F343" s="201"/>
      <c r="G343" s="94" t="s">
        <v>43</v>
      </c>
      <c r="H343" s="109" t="str">
        <f>+$H$3</f>
        <v>24</v>
      </c>
      <c r="I343" s="108" t="str">
        <f>+VLOOKUP($G343,$K$2:$M$15,2,FALSE)&amp;$H$3&amp;$H$2</f>
        <v>1124CER</v>
      </c>
    </row>
    <row r="344" spans="1:9" ht="25.2" customHeight="1" thickBot="1" x14ac:dyDescent="0.3">
      <c r="B344" s="210"/>
      <c r="C344" s="202"/>
      <c r="D344" s="202"/>
      <c r="E344" s="203" t="str">
        <f>+$F$7&amp;"-"&amp;$I343&amp;"-"&amp;2025</f>
        <v>170AC-1124CER-2025</v>
      </c>
      <c r="F344" s="203"/>
      <c r="G344" s="138">
        <f>+VLOOKUP($G343,$K$2:$M$15,2,FALSE)</f>
        <v>11</v>
      </c>
      <c r="H344" s="97"/>
    </row>
    <row r="346" spans="1:9" x14ac:dyDescent="0.25">
      <c r="A346" s="189" t="s">
        <v>91</v>
      </c>
      <c r="B346" s="189"/>
      <c r="C346" s="189"/>
      <c r="D346" s="189"/>
      <c r="E346" s="189"/>
      <c r="F346" s="189"/>
      <c r="G346" s="98"/>
      <c r="H346" s="98"/>
    </row>
    <row r="347" spans="1:9" ht="29.95" customHeight="1" x14ac:dyDescent="0.25">
      <c r="B347" s="87" t="s">
        <v>92</v>
      </c>
      <c r="C347" s="204" t="s">
        <v>135</v>
      </c>
      <c r="D347" s="204"/>
      <c r="E347" s="87" t="s">
        <v>93</v>
      </c>
      <c r="F347" s="88" t="s">
        <v>138</v>
      </c>
    </row>
    <row r="348" spans="1:9" ht="29.95" customHeight="1" x14ac:dyDescent="0.25">
      <c r="B348" s="87" t="s">
        <v>94</v>
      </c>
      <c r="C348" s="204" t="s">
        <v>124</v>
      </c>
      <c r="D348" s="204"/>
      <c r="E348" s="87" t="s">
        <v>95</v>
      </c>
      <c r="F348" s="88" t="s">
        <v>23</v>
      </c>
    </row>
    <row r="349" spans="1:9" ht="29.95" customHeight="1" x14ac:dyDescent="0.25">
      <c r="B349" s="87" t="s">
        <v>96</v>
      </c>
      <c r="C349" s="208" t="s">
        <v>136</v>
      </c>
      <c r="D349" s="208"/>
      <c r="E349" s="87" t="s">
        <v>97</v>
      </c>
      <c r="F349" s="114" t="s">
        <v>125</v>
      </c>
    </row>
    <row r="350" spans="1:9" ht="29.95" customHeight="1" x14ac:dyDescent="0.25">
      <c r="B350" s="87" t="s">
        <v>98</v>
      </c>
      <c r="C350" s="191"/>
      <c r="D350" s="191"/>
      <c r="E350" s="87" t="s">
        <v>99</v>
      </c>
      <c r="F350" s="110"/>
    </row>
    <row r="351" spans="1:9" x14ac:dyDescent="0.25">
      <c r="I351" s="105"/>
    </row>
    <row r="353" spans="1:8" x14ac:dyDescent="0.25">
      <c r="A353" s="189" t="s">
        <v>100</v>
      </c>
      <c r="B353" s="189"/>
      <c r="C353" s="189"/>
      <c r="D353" s="189"/>
      <c r="E353" s="192"/>
      <c r="F353" s="192"/>
      <c r="G353" s="98"/>
      <c r="H353" s="98"/>
    </row>
    <row r="354" spans="1:8" ht="30.15" x14ac:dyDescent="0.25">
      <c r="A354" s="87" t="s">
        <v>101</v>
      </c>
      <c r="B354" s="89" t="s">
        <v>102</v>
      </c>
      <c r="C354" s="89" t="s">
        <v>103</v>
      </c>
      <c r="D354" s="89" t="s">
        <v>104</v>
      </c>
      <c r="E354" s="89" t="s">
        <v>105</v>
      </c>
      <c r="F354" s="89" t="s">
        <v>106</v>
      </c>
      <c r="G354" s="99"/>
      <c r="H354" s="99"/>
    </row>
    <row r="355" spans="1:8" ht="20.149999999999999" customHeight="1" x14ac:dyDescent="0.25">
      <c r="A355" s="90">
        <v>1</v>
      </c>
      <c r="B355" s="91" t="s">
        <v>107</v>
      </c>
      <c r="C355" s="88" t="str">
        <f>+$I$6</f>
        <v>CERDO</v>
      </c>
      <c r="D355" s="91"/>
      <c r="E355" s="88">
        <f>+VLOOKUP($G344,CÁRNICOS!$BW$85:$CA$103,3,FALSE)</f>
        <v>0</v>
      </c>
      <c r="F355" s="91"/>
      <c r="G355" s="100"/>
      <c r="H355" s="100"/>
    </row>
    <row r="356" spans="1:8" ht="20.149999999999999" customHeight="1" x14ac:dyDescent="0.25">
      <c r="A356" s="90">
        <v>2</v>
      </c>
      <c r="B356" s="91" t="s">
        <v>108</v>
      </c>
      <c r="C356" s="91"/>
      <c r="D356" s="91"/>
      <c r="E356" s="91"/>
      <c r="F356" s="91"/>
      <c r="G356" s="100"/>
      <c r="H356" s="100"/>
    </row>
    <row r="358" spans="1:8" x14ac:dyDescent="0.25">
      <c r="A358" s="189" t="s">
        <v>109</v>
      </c>
      <c r="B358" s="189"/>
      <c r="C358" s="189"/>
      <c r="D358" s="189"/>
      <c r="E358" s="192"/>
      <c r="F358" s="192"/>
      <c r="G358" s="98"/>
      <c r="H358" s="98"/>
    </row>
    <row r="359" spans="1:8" ht="25.2" customHeight="1" x14ac:dyDescent="0.25">
      <c r="B359" s="87" t="s">
        <v>110</v>
      </c>
      <c r="C359" s="92"/>
      <c r="D359" s="87" t="s">
        <v>111</v>
      </c>
      <c r="E359" s="206"/>
      <c r="F359" s="206"/>
      <c r="G359" s="101"/>
      <c r="H359" s="101"/>
    </row>
    <row r="360" spans="1:8" ht="25.2" customHeight="1" x14ac:dyDescent="0.25">
      <c r="B360" s="87" t="s">
        <v>112</v>
      </c>
      <c r="C360" s="92"/>
      <c r="D360" s="87" t="s">
        <v>113</v>
      </c>
      <c r="E360" s="206"/>
      <c r="F360" s="206"/>
      <c r="G360" s="101"/>
      <c r="H360" s="101"/>
    </row>
    <row r="361" spans="1:8" ht="25.2" customHeight="1" x14ac:dyDescent="0.25">
      <c r="D361" s="87" t="s">
        <v>97</v>
      </c>
      <c r="E361" s="207"/>
      <c r="F361" s="207"/>
      <c r="G361" s="102"/>
      <c r="H361" s="102"/>
    </row>
    <row r="362" spans="1:8" ht="25.2" customHeight="1" x14ac:dyDescent="0.25">
      <c r="B362" s="87" t="s">
        <v>114</v>
      </c>
      <c r="C362" s="191"/>
      <c r="D362" s="191"/>
      <c r="E362" s="93" t="s">
        <v>115</v>
      </c>
      <c r="F362" s="113"/>
    </row>
    <row r="364" spans="1:8" x14ac:dyDescent="0.25">
      <c r="A364" s="189" t="s">
        <v>116</v>
      </c>
      <c r="B364" s="189"/>
      <c r="C364" s="189"/>
      <c r="D364" s="189"/>
      <c r="E364" s="189"/>
      <c r="F364" s="189"/>
      <c r="G364" s="98"/>
      <c r="H364" s="98"/>
    </row>
    <row r="365" spans="1:8" ht="25.2" customHeight="1" x14ac:dyDescent="0.25">
      <c r="B365" s="93" t="s">
        <v>94</v>
      </c>
      <c r="C365" s="96" t="s">
        <v>124</v>
      </c>
      <c r="D365" s="87" t="s">
        <v>117</v>
      </c>
      <c r="E365" s="190"/>
      <c r="F365" s="190"/>
      <c r="G365" s="103"/>
      <c r="H365" s="103"/>
    </row>
    <row r="366" spans="1:8" ht="25.2" customHeight="1" x14ac:dyDescent="0.25">
      <c r="B366" s="93" t="s">
        <v>95</v>
      </c>
      <c r="C366" s="111" t="str">
        <f>+$G343</f>
        <v>SALAMINA</v>
      </c>
      <c r="D366" s="87" t="s">
        <v>118</v>
      </c>
      <c r="E366" s="190"/>
      <c r="F366" s="190"/>
      <c r="G366" s="103"/>
      <c r="H366" s="103"/>
    </row>
    <row r="367" spans="1:8" ht="25.2" customHeight="1" x14ac:dyDescent="0.25">
      <c r="B367" s="93" t="s">
        <v>119</v>
      </c>
      <c r="C367" s="112"/>
      <c r="D367" s="87" t="s">
        <v>153</v>
      </c>
      <c r="E367" s="205" t="str">
        <f>+VLOOKUP($G343,$K$2:$M$15,3,FALSE)</f>
        <v>VDA EL CARRETERO, FINCA MATEGUADUA</v>
      </c>
      <c r="F367" s="205"/>
    </row>
    <row r="368" spans="1:8" ht="25.2" customHeight="1" x14ac:dyDescent="0.25">
      <c r="B368" s="93" t="s">
        <v>120</v>
      </c>
      <c r="C368" s="112"/>
    </row>
    <row r="370" spans="1:9" x14ac:dyDescent="0.25">
      <c r="A370" s="189" t="s">
        <v>121</v>
      </c>
      <c r="B370" s="189"/>
      <c r="C370" s="192"/>
      <c r="D370" s="192"/>
      <c r="E370" s="192"/>
      <c r="F370" s="189"/>
      <c r="G370" s="98"/>
      <c r="H370" s="98"/>
    </row>
    <row r="371" spans="1:9" ht="25.2" customHeight="1" x14ac:dyDescent="0.25">
      <c r="B371" s="93" t="s">
        <v>158</v>
      </c>
      <c r="C371" s="193" t="s">
        <v>171</v>
      </c>
      <c r="D371" s="194"/>
      <c r="E371" s="195"/>
    </row>
    <row r="372" spans="1:9" ht="25.2" customHeight="1" x14ac:dyDescent="0.25">
      <c r="B372" s="87" t="s">
        <v>113</v>
      </c>
      <c r="C372" s="199">
        <v>1298501</v>
      </c>
      <c r="D372" s="194"/>
      <c r="E372" s="195"/>
    </row>
    <row r="373" spans="1:9" ht="25.2" customHeight="1" x14ac:dyDescent="0.25">
      <c r="B373" s="87" t="s">
        <v>122</v>
      </c>
      <c r="C373" s="193" t="s">
        <v>159</v>
      </c>
      <c r="D373" s="194"/>
      <c r="E373" s="195"/>
    </row>
    <row r="374" spans="1:9" ht="25.2" customHeight="1" x14ac:dyDescent="0.25">
      <c r="B374" s="87" t="s">
        <v>123</v>
      </c>
      <c r="C374" s="196"/>
      <c r="D374" s="197"/>
      <c r="E374" s="198"/>
    </row>
    <row r="376" spans="1:9" ht="15.75" thickBot="1" x14ac:dyDescent="0.3">
      <c r="I376" s="95" t="s">
        <v>88</v>
      </c>
    </row>
    <row r="377" spans="1:9" ht="23.4" customHeight="1" thickBot="1" x14ac:dyDescent="0.3">
      <c r="B377" s="209" t="str">
        <f>+$B$3</f>
        <v>CÓDIGO INVIMA: 170AC</v>
      </c>
      <c r="C377" s="200" t="s">
        <v>89</v>
      </c>
      <c r="D377" s="200"/>
      <c r="E377" s="201" t="s">
        <v>90</v>
      </c>
      <c r="F377" s="201"/>
      <c r="G377" s="94" t="s">
        <v>45</v>
      </c>
      <c r="H377" s="109" t="str">
        <f>+$H$3</f>
        <v>24</v>
      </c>
      <c r="I377" s="108" t="str">
        <f>+VLOOKUP($G377,$K$2:$M$15,2,FALSE)&amp;$H$3&amp;$H$2</f>
        <v>1224CER</v>
      </c>
    </row>
    <row r="378" spans="1:9" ht="25.2" customHeight="1" thickBot="1" x14ac:dyDescent="0.3">
      <c r="B378" s="210"/>
      <c r="C378" s="202"/>
      <c r="D378" s="202"/>
      <c r="E378" s="203" t="str">
        <f>+$F$7&amp;"-"&amp;$I377&amp;"-"&amp;2025</f>
        <v>170AC-1224CER-2025</v>
      </c>
      <c r="F378" s="203"/>
      <c r="G378" s="138">
        <f>+VLOOKUP($G377,$K$2:$M$15,2,FALSE)</f>
        <v>12</v>
      </c>
      <c r="H378" s="97"/>
    </row>
    <row r="380" spans="1:9" x14ac:dyDescent="0.25">
      <c r="A380" s="189" t="s">
        <v>91</v>
      </c>
      <c r="B380" s="189"/>
      <c r="C380" s="189"/>
      <c r="D380" s="189"/>
      <c r="E380" s="189"/>
      <c r="F380" s="189"/>
      <c r="G380" s="98"/>
      <c r="H380" s="98"/>
    </row>
    <row r="381" spans="1:9" ht="29.95" customHeight="1" x14ac:dyDescent="0.25">
      <c r="B381" s="87" t="s">
        <v>92</v>
      </c>
      <c r="C381" s="204" t="s">
        <v>135</v>
      </c>
      <c r="D381" s="204"/>
      <c r="E381" s="87" t="s">
        <v>93</v>
      </c>
      <c r="F381" s="88" t="s">
        <v>138</v>
      </c>
    </row>
    <row r="382" spans="1:9" ht="29.95" customHeight="1" x14ac:dyDescent="0.25">
      <c r="B382" s="87" t="s">
        <v>94</v>
      </c>
      <c r="C382" s="204" t="s">
        <v>124</v>
      </c>
      <c r="D382" s="204"/>
      <c r="E382" s="87" t="s">
        <v>95</v>
      </c>
      <c r="F382" s="88" t="s">
        <v>23</v>
      </c>
    </row>
    <row r="383" spans="1:9" ht="29.95" customHeight="1" x14ac:dyDescent="0.25">
      <c r="B383" s="87" t="s">
        <v>96</v>
      </c>
      <c r="C383" s="208" t="s">
        <v>136</v>
      </c>
      <c r="D383" s="208"/>
      <c r="E383" s="87" t="s">
        <v>97</v>
      </c>
      <c r="F383" s="114" t="s">
        <v>125</v>
      </c>
    </row>
    <row r="384" spans="1:9" ht="29.95" customHeight="1" x14ac:dyDescent="0.25">
      <c r="B384" s="87" t="s">
        <v>98</v>
      </c>
      <c r="C384" s="191"/>
      <c r="D384" s="191"/>
      <c r="E384" s="87" t="s">
        <v>99</v>
      </c>
      <c r="F384" s="110"/>
    </row>
    <row r="385" spans="1:9" x14ac:dyDescent="0.25">
      <c r="I385" s="105"/>
    </row>
    <row r="387" spans="1:9" x14ac:dyDescent="0.25">
      <c r="A387" s="189" t="s">
        <v>100</v>
      </c>
      <c r="B387" s="189"/>
      <c r="C387" s="189"/>
      <c r="D387" s="189"/>
      <c r="E387" s="192"/>
      <c r="F387" s="192"/>
      <c r="G387" s="98"/>
      <c r="H387" s="98"/>
    </row>
    <row r="388" spans="1:9" ht="30.15" x14ac:dyDescent="0.25">
      <c r="A388" s="87" t="s">
        <v>101</v>
      </c>
      <c r="B388" s="89" t="s">
        <v>102</v>
      </c>
      <c r="C388" s="89" t="s">
        <v>103</v>
      </c>
      <c r="D388" s="89" t="s">
        <v>104</v>
      </c>
      <c r="E388" s="89" t="s">
        <v>105</v>
      </c>
      <c r="F388" s="89" t="s">
        <v>106</v>
      </c>
      <c r="G388" s="99"/>
      <c r="H388" s="99"/>
    </row>
    <row r="389" spans="1:9" ht="20.149999999999999" customHeight="1" x14ac:dyDescent="0.25">
      <c r="A389" s="90">
        <v>1</v>
      </c>
      <c r="B389" s="91" t="s">
        <v>107</v>
      </c>
      <c r="C389" s="88" t="str">
        <f>+$I$6</f>
        <v>CERDO</v>
      </c>
      <c r="D389" s="91"/>
      <c r="E389" s="88">
        <f>+VLOOKUP($G378,CÁRNICOS!$BW$85:$CA$103,3,FALSE)</f>
        <v>0</v>
      </c>
      <c r="F389" s="91"/>
      <c r="G389" s="100"/>
      <c r="H389" s="100"/>
    </row>
    <row r="390" spans="1:9" ht="20.149999999999999" customHeight="1" x14ac:dyDescent="0.25">
      <c r="A390" s="90">
        <v>2</v>
      </c>
      <c r="B390" s="91" t="s">
        <v>108</v>
      </c>
      <c r="C390" s="91"/>
      <c r="D390" s="91"/>
      <c r="E390" s="91"/>
      <c r="F390" s="91"/>
      <c r="G390" s="100"/>
      <c r="H390" s="100"/>
    </row>
    <row r="392" spans="1:9" x14ac:dyDescent="0.25">
      <c r="A392" s="189" t="s">
        <v>109</v>
      </c>
      <c r="B392" s="189"/>
      <c r="C392" s="189"/>
      <c r="D392" s="189"/>
      <c r="E392" s="192"/>
      <c r="F392" s="192"/>
      <c r="G392" s="98"/>
      <c r="H392" s="98"/>
    </row>
    <row r="393" spans="1:9" ht="25.2" customHeight="1" x14ac:dyDescent="0.25">
      <c r="B393" s="87" t="s">
        <v>110</v>
      </c>
      <c r="C393" s="92"/>
      <c r="D393" s="87" t="s">
        <v>111</v>
      </c>
      <c r="E393" s="206"/>
      <c r="F393" s="206"/>
      <c r="G393" s="101"/>
      <c r="H393" s="101"/>
    </row>
    <row r="394" spans="1:9" ht="25.2" customHeight="1" x14ac:dyDescent="0.25">
      <c r="B394" s="87" t="s">
        <v>112</v>
      </c>
      <c r="C394" s="92"/>
      <c r="D394" s="87" t="s">
        <v>113</v>
      </c>
      <c r="E394" s="206"/>
      <c r="F394" s="206"/>
      <c r="G394" s="101"/>
      <c r="H394" s="101"/>
    </row>
    <row r="395" spans="1:9" ht="25.2" customHeight="1" x14ac:dyDescent="0.25">
      <c r="D395" s="87" t="s">
        <v>97</v>
      </c>
      <c r="E395" s="207"/>
      <c r="F395" s="207"/>
      <c r="G395" s="102"/>
      <c r="H395" s="102"/>
    </row>
    <row r="396" spans="1:9" ht="25.2" customHeight="1" x14ac:dyDescent="0.25">
      <c r="B396" s="87" t="s">
        <v>114</v>
      </c>
      <c r="C396" s="191"/>
      <c r="D396" s="191"/>
      <c r="E396" s="93" t="s">
        <v>115</v>
      </c>
      <c r="F396" s="113"/>
    </row>
    <row r="398" spans="1:9" x14ac:dyDescent="0.25">
      <c r="A398" s="189" t="s">
        <v>116</v>
      </c>
      <c r="B398" s="189"/>
      <c r="C398" s="189"/>
      <c r="D398" s="189"/>
      <c r="E398" s="189"/>
      <c r="F398" s="189"/>
      <c r="G398" s="98"/>
      <c r="H398" s="98"/>
    </row>
    <row r="399" spans="1:9" ht="25.2" customHeight="1" x14ac:dyDescent="0.25">
      <c r="B399" s="93" t="s">
        <v>94</v>
      </c>
      <c r="C399" s="96" t="s">
        <v>124</v>
      </c>
      <c r="D399" s="87" t="s">
        <v>117</v>
      </c>
      <c r="E399" s="190"/>
      <c r="F399" s="190"/>
      <c r="G399" s="103"/>
      <c r="H399" s="103"/>
    </row>
    <row r="400" spans="1:9" ht="25.2" customHeight="1" x14ac:dyDescent="0.25">
      <c r="B400" s="93" t="s">
        <v>95</v>
      </c>
      <c r="C400" s="111" t="str">
        <f>+$G377</f>
        <v>ARANZAZU</v>
      </c>
      <c r="D400" s="87" t="s">
        <v>118</v>
      </c>
      <c r="E400" s="190"/>
      <c r="F400" s="190"/>
      <c r="G400" s="103"/>
      <c r="H400" s="103"/>
    </row>
    <row r="401" spans="1:9" ht="25.2" customHeight="1" x14ac:dyDescent="0.25">
      <c r="B401" s="93" t="s">
        <v>119</v>
      </c>
      <c r="C401" s="112"/>
      <c r="D401" s="87" t="s">
        <v>153</v>
      </c>
      <c r="E401" s="205" t="str">
        <f>+VLOOKUP($G377,$K$2:$M$15,3,FALSE)</f>
        <v>Carrera 5 #4 - 03</v>
      </c>
      <c r="F401" s="205"/>
    </row>
    <row r="402" spans="1:9" ht="25.2" customHeight="1" x14ac:dyDescent="0.25">
      <c r="B402" s="93" t="s">
        <v>120</v>
      </c>
      <c r="C402" s="112"/>
    </row>
    <row r="404" spans="1:9" x14ac:dyDescent="0.25">
      <c r="A404" s="189" t="s">
        <v>121</v>
      </c>
      <c r="B404" s="189"/>
      <c r="C404" s="192"/>
      <c r="D404" s="192"/>
      <c r="E404" s="192"/>
      <c r="F404" s="189"/>
      <c r="G404" s="98"/>
      <c r="H404" s="98"/>
    </row>
    <row r="405" spans="1:9" ht="25.2" customHeight="1" x14ac:dyDescent="0.25">
      <c r="B405" s="93" t="s">
        <v>158</v>
      </c>
      <c r="C405" s="193" t="s">
        <v>171</v>
      </c>
      <c r="D405" s="194"/>
      <c r="E405" s="195"/>
    </row>
    <row r="406" spans="1:9" ht="25.2" customHeight="1" x14ac:dyDescent="0.25">
      <c r="B406" s="87" t="s">
        <v>113</v>
      </c>
      <c r="C406" s="199">
        <v>1298501</v>
      </c>
      <c r="D406" s="194"/>
      <c r="E406" s="195"/>
    </row>
    <row r="407" spans="1:9" ht="25.2" customHeight="1" x14ac:dyDescent="0.25">
      <c r="B407" s="87" t="s">
        <v>122</v>
      </c>
      <c r="C407" s="193" t="s">
        <v>159</v>
      </c>
      <c r="D407" s="194"/>
      <c r="E407" s="195"/>
    </row>
    <row r="408" spans="1:9" ht="25.2" customHeight="1" x14ac:dyDescent="0.25">
      <c r="B408" s="87" t="s">
        <v>123</v>
      </c>
      <c r="C408" s="196"/>
      <c r="D408" s="197"/>
      <c r="E408" s="198"/>
    </row>
    <row r="410" spans="1:9" ht="15.75" thickBot="1" x14ac:dyDescent="0.3">
      <c r="I410" s="95" t="s">
        <v>88</v>
      </c>
    </row>
    <row r="411" spans="1:9" ht="23.4" customHeight="1" thickBot="1" x14ac:dyDescent="0.3">
      <c r="B411" s="209" t="str">
        <f>+$B$3</f>
        <v>CÓDIGO INVIMA: 170AC</v>
      </c>
      <c r="C411" s="200" t="s">
        <v>89</v>
      </c>
      <c r="D411" s="200"/>
      <c r="E411" s="201" t="s">
        <v>90</v>
      </c>
      <c r="F411" s="201"/>
      <c r="G411" s="94" t="s">
        <v>151</v>
      </c>
      <c r="H411" s="109" t="str">
        <f>+$H$3</f>
        <v>24</v>
      </c>
      <c r="I411" s="108" t="str">
        <f>+VLOOKUP($G411,$K$2:$M$15,2,FALSE)&amp;$H$3&amp;$H$2</f>
        <v>1324CER</v>
      </c>
    </row>
    <row r="412" spans="1:9" ht="25.2" customHeight="1" thickBot="1" x14ac:dyDescent="0.3">
      <c r="B412" s="210"/>
      <c r="C412" s="202"/>
      <c r="D412" s="202"/>
      <c r="E412" s="203" t="str">
        <f>+$F$7&amp;"-"&amp;$I411&amp;"-"&amp;2025</f>
        <v>170AC-1324CER-2025</v>
      </c>
      <c r="F412" s="203"/>
      <c r="G412" s="138">
        <f>+VLOOKUP($G411,$K$2:$M$15,2,FALSE)</f>
        <v>13</v>
      </c>
      <c r="H412" s="97"/>
    </row>
    <row r="414" spans="1:9" x14ac:dyDescent="0.25">
      <c r="A414" s="189" t="s">
        <v>91</v>
      </c>
      <c r="B414" s="189"/>
      <c r="C414" s="189"/>
      <c r="D414" s="189"/>
      <c r="E414" s="189"/>
      <c r="F414" s="189"/>
      <c r="G414" s="98"/>
      <c r="H414" s="98"/>
    </row>
    <row r="415" spans="1:9" ht="29.95" customHeight="1" x14ac:dyDescent="0.25">
      <c r="B415" s="87" t="s">
        <v>92</v>
      </c>
      <c r="C415" s="204" t="s">
        <v>135</v>
      </c>
      <c r="D415" s="204"/>
      <c r="E415" s="87" t="s">
        <v>93</v>
      </c>
      <c r="F415" s="88" t="s">
        <v>138</v>
      </c>
    </row>
    <row r="416" spans="1:9" ht="29.95" customHeight="1" x14ac:dyDescent="0.25">
      <c r="B416" s="87" t="s">
        <v>94</v>
      </c>
      <c r="C416" s="204" t="s">
        <v>124</v>
      </c>
      <c r="D416" s="204"/>
      <c r="E416" s="87" t="s">
        <v>95</v>
      </c>
      <c r="F416" s="88" t="s">
        <v>23</v>
      </c>
    </row>
    <row r="417" spans="1:9" ht="29.95" customHeight="1" x14ac:dyDescent="0.25">
      <c r="B417" s="87" t="s">
        <v>96</v>
      </c>
      <c r="C417" s="208" t="s">
        <v>136</v>
      </c>
      <c r="D417" s="208"/>
      <c r="E417" s="87" t="s">
        <v>97</v>
      </c>
      <c r="F417" s="114" t="s">
        <v>125</v>
      </c>
    </row>
    <row r="418" spans="1:9" ht="29.95" customHeight="1" x14ac:dyDescent="0.25">
      <c r="B418" s="87" t="s">
        <v>98</v>
      </c>
      <c r="C418" s="191"/>
      <c r="D418" s="191"/>
      <c r="E418" s="87" t="s">
        <v>99</v>
      </c>
      <c r="F418" s="110"/>
    </row>
    <row r="419" spans="1:9" x14ac:dyDescent="0.25">
      <c r="I419" s="105"/>
    </row>
    <row r="421" spans="1:9" x14ac:dyDescent="0.25">
      <c r="A421" s="189" t="s">
        <v>100</v>
      </c>
      <c r="B421" s="189"/>
      <c r="C421" s="189"/>
      <c r="D421" s="189"/>
      <c r="E421" s="192"/>
      <c r="F421" s="192"/>
      <c r="G421" s="98"/>
      <c r="H421" s="98"/>
    </row>
    <row r="422" spans="1:9" ht="30.15" x14ac:dyDescent="0.25">
      <c r="A422" s="87" t="s">
        <v>101</v>
      </c>
      <c r="B422" s="89" t="s">
        <v>102</v>
      </c>
      <c r="C422" s="89" t="s">
        <v>103</v>
      </c>
      <c r="D422" s="89" t="s">
        <v>104</v>
      </c>
      <c r="E422" s="89" t="s">
        <v>105</v>
      </c>
      <c r="F422" s="89" t="s">
        <v>106</v>
      </c>
      <c r="G422" s="99"/>
      <c r="H422" s="99"/>
    </row>
    <row r="423" spans="1:9" ht="20.149999999999999" customHeight="1" x14ac:dyDescent="0.25">
      <c r="A423" s="90">
        <v>1</v>
      </c>
      <c r="B423" s="91" t="s">
        <v>107</v>
      </c>
      <c r="C423" s="88" t="str">
        <f>+$I$6</f>
        <v>CERDO</v>
      </c>
      <c r="D423" s="91"/>
      <c r="E423" s="88">
        <f>+VLOOKUP($G412,CÁRNICOS!$BW$85:$CA$103,3,FALSE)</f>
        <v>0</v>
      </c>
      <c r="F423" s="91"/>
      <c r="G423" s="100"/>
      <c r="H423" s="100"/>
    </row>
    <row r="424" spans="1:9" ht="20.149999999999999" customHeight="1" x14ac:dyDescent="0.25">
      <c r="A424" s="90">
        <v>2</v>
      </c>
      <c r="B424" s="91" t="s">
        <v>108</v>
      </c>
      <c r="C424" s="91"/>
      <c r="D424" s="91"/>
      <c r="E424" s="91"/>
      <c r="F424" s="91"/>
      <c r="G424" s="100"/>
      <c r="H424" s="100"/>
    </row>
    <row r="426" spans="1:9" x14ac:dyDescent="0.25">
      <c r="A426" s="189" t="s">
        <v>109</v>
      </c>
      <c r="B426" s="189"/>
      <c r="C426" s="189"/>
      <c r="D426" s="189"/>
      <c r="E426" s="192"/>
      <c r="F426" s="192"/>
      <c r="G426" s="98"/>
      <c r="H426" s="98"/>
    </row>
    <row r="427" spans="1:9" ht="25.2" customHeight="1" x14ac:dyDescent="0.25">
      <c r="B427" s="87" t="s">
        <v>110</v>
      </c>
      <c r="C427" s="92"/>
      <c r="D427" s="87" t="s">
        <v>111</v>
      </c>
      <c r="E427" s="206"/>
      <c r="F427" s="206"/>
      <c r="G427" s="101"/>
      <c r="H427" s="101"/>
    </row>
    <row r="428" spans="1:9" ht="25.2" customHeight="1" x14ac:dyDescent="0.25">
      <c r="B428" s="87" t="s">
        <v>112</v>
      </c>
      <c r="C428" s="92"/>
      <c r="D428" s="87" t="s">
        <v>113</v>
      </c>
      <c r="E428" s="206"/>
      <c r="F428" s="206"/>
      <c r="G428" s="101"/>
      <c r="H428" s="101"/>
    </row>
    <row r="429" spans="1:9" ht="25.2" customHeight="1" x14ac:dyDescent="0.25">
      <c r="D429" s="87" t="s">
        <v>97</v>
      </c>
      <c r="E429" s="207"/>
      <c r="F429" s="207"/>
      <c r="G429" s="102"/>
      <c r="H429" s="102"/>
    </row>
    <row r="430" spans="1:9" ht="25.2" customHeight="1" x14ac:dyDescent="0.25">
      <c r="B430" s="87" t="s">
        <v>114</v>
      </c>
      <c r="C430" s="191"/>
      <c r="D430" s="191"/>
      <c r="E430" s="93" t="s">
        <v>115</v>
      </c>
      <c r="F430" s="113"/>
    </row>
    <row r="432" spans="1:9" x14ac:dyDescent="0.25">
      <c r="A432" s="189" t="s">
        <v>116</v>
      </c>
      <c r="B432" s="189"/>
      <c r="C432" s="189"/>
      <c r="D432" s="189"/>
      <c r="E432" s="189"/>
      <c r="F432" s="189"/>
      <c r="G432" s="98"/>
      <c r="H432" s="98"/>
    </row>
    <row r="433" spans="1:8" ht="25.2" customHeight="1" x14ac:dyDescent="0.25">
      <c r="B433" s="93" t="s">
        <v>94</v>
      </c>
      <c r="C433" s="96" t="s">
        <v>124</v>
      </c>
      <c r="D433" s="87" t="s">
        <v>117</v>
      </c>
      <c r="E433" s="190"/>
      <c r="F433" s="190"/>
      <c r="G433" s="103"/>
      <c r="H433" s="103"/>
    </row>
    <row r="434" spans="1:8" ht="25.2" customHeight="1" x14ac:dyDescent="0.25">
      <c r="B434" s="93" t="s">
        <v>95</v>
      </c>
      <c r="C434" s="111" t="str">
        <f>+$G411</f>
        <v>MANIZALES</v>
      </c>
      <c r="D434" s="87" t="s">
        <v>118</v>
      </c>
      <c r="E434" s="190"/>
      <c r="F434" s="190"/>
      <c r="G434" s="103"/>
      <c r="H434" s="103"/>
    </row>
    <row r="435" spans="1:8" ht="25.2" customHeight="1" x14ac:dyDescent="0.25">
      <c r="B435" s="93" t="s">
        <v>119</v>
      </c>
      <c r="C435" s="112"/>
      <c r="D435" s="87" t="s">
        <v>153</v>
      </c>
      <c r="E435" s="205" t="str">
        <f>+VLOOKUP($G411,$K$2:$M$15,3,FALSE)</f>
        <v>CLL 118 # 25-61 KM 13 VIA AL MAGDALENA CONTINUA A LA ESTACION DE TERPEL</v>
      </c>
      <c r="F435" s="205"/>
    </row>
    <row r="436" spans="1:8" ht="25.2" customHeight="1" x14ac:dyDescent="0.25">
      <c r="B436" s="93" t="s">
        <v>120</v>
      </c>
      <c r="C436" s="112"/>
    </row>
    <row r="438" spans="1:8" x14ac:dyDescent="0.25">
      <c r="A438" s="189" t="s">
        <v>121</v>
      </c>
      <c r="B438" s="189"/>
      <c r="C438" s="192"/>
      <c r="D438" s="192"/>
      <c r="E438" s="192"/>
      <c r="F438" s="189"/>
      <c r="G438" s="98"/>
      <c r="H438" s="98"/>
    </row>
    <row r="439" spans="1:8" ht="25.2" customHeight="1" x14ac:dyDescent="0.25">
      <c r="B439" s="93" t="s">
        <v>158</v>
      </c>
      <c r="C439" s="193" t="s">
        <v>171</v>
      </c>
      <c r="D439" s="194"/>
      <c r="E439" s="195"/>
    </row>
    <row r="440" spans="1:8" ht="25.2" customHeight="1" x14ac:dyDescent="0.25">
      <c r="B440" s="87" t="s">
        <v>113</v>
      </c>
      <c r="C440" s="199">
        <v>1298501</v>
      </c>
      <c r="D440" s="194"/>
      <c r="E440" s="195"/>
    </row>
    <row r="441" spans="1:8" ht="25.2" customHeight="1" x14ac:dyDescent="0.25">
      <c r="B441" s="87" t="s">
        <v>122</v>
      </c>
      <c r="C441" s="193" t="s">
        <v>159</v>
      </c>
      <c r="D441" s="194"/>
      <c r="E441" s="195"/>
    </row>
    <row r="442" spans="1:8" ht="25.2" customHeight="1" x14ac:dyDescent="0.25">
      <c r="B442" s="87" t="s">
        <v>123</v>
      </c>
      <c r="C442" s="196"/>
      <c r="D442" s="197"/>
      <c r="E442" s="198"/>
    </row>
  </sheetData>
  <autoFilter ref="B2:B306" xr:uid="{FA55EB4D-628E-4D8C-BB9F-6BD582DB7FB8}"/>
  <mergeCells count="325">
    <mergeCell ref="A24:F24"/>
    <mergeCell ref="E25:F25"/>
    <mergeCell ref="E26:F26"/>
    <mergeCell ref="C22:D22"/>
    <mergeCell ref="B3:B4"/>
    <mergeCell ref="A6:F6"/>
    <mergeCell ref="C10:D10"/>
    <mergeCell ref="C9:D9"/>
    <mergeCell ref="C8:D8"/>
    <mergeCell ref="C7:D7"/>
    <mergeCell ref="C3:D3"/>
    <mergeCell ref="E4:F4"/>
    <mergeCell ref="E3:F3"/>
    <mergeCell ref="A13:F13"/>
    <mergeCell ref="A18:F18"/>
    <mergeCell ref="E19:F19"/>
    <mergeCell ref="E20:F20"/>
    <mergeCell ref="E21:F21"/>
    <mergeCell ref="E55:F55"/>
    <mergeCell ref="C56:D56"/>
    <mergeCell ref="A58:F58"/>
    <mergeCell ref="E59:F59"/>
    <mergeCell ref="E60:F60"/>
    <mergeCell ref="C44:D44"/>
    <mergeCell ref="A47:F47"/>
    <mergeCell ref="A52:F52"/>
    <mergeCell ref="E53:F53"/>
    <mergeCell ref="E54:F54"/>
    <mergeCell ref="C41:D41"/>
    <mergeCell ref="C42:D42"/>
    <mergeCell ref="C43:D43"/>
    <mergeCell ref="A30:F30"/>
    <mergeCell ref="C31:E31"/>
    <mergeCell ref="C32:E32"/>
    <mergeCell ref="B37:B38"/>
    <mergeCell ref="A40:F40"/>
    <mergeCell ref="E37:F37"/>
    <mergeCell ref="E38:F38"/>
    <mergeCell ref="C33:E33"/>
    <mergeCell ref="C34:E34"/>
    <mergeCell ref="B71:B72"/>
    <mergeCell ref="A74:F74"/>
    <mergeCell ref="E71:F71"/>
    <mergeCell ref="E72:F72"/>
    <mergeCell ref="A64:F64"/>
    <mergeCell ref="C65:E65"/>
    <mergeCell ref="C66:E66"/>
    <mergeCell ref="C67:E67"/>
    <mergeCell ref="C68:E68"/>
    <mergeCell ref="E89:F89"/>
    <mergeCell ref="C90:D90"/>
    <mergeCell ref="A92:F92"/>
    <mergeCell ref="E93:F93"/>
    <mergeCell ref="E94:F94"/>
    <mergeCell ref="C78:D78"/>
    <mergeCell ref="A81:F81"/>
    <mergeCell ref="A86:F86"/>
    <mergeCell ref="E87:F87"/>
    <mergeCell ref="E88:F88"/>
    <mergeCell ref="B105:B106"/>
    <mergeCell ref="A108:F108"/>
    <mergeCell ref="E105:F105"/>
    <mergeCell ref="E106:F106"/>
    <mergeCell ref="A98:F98"/>
    <mergeCell ref="C99:E99"/>
    <mergeCell ref="C100:E100"/>
    <mergeCell ref="C101:E101"/>
    <mergeCell ref="C102:E102"/>
    <mergeCell ref="B173:B174"/>
    <mergeCell ref="A176:F176"/>
    <mergeCell ref="E173:F173"/>
    <mergeCell ref="E174:F174"/>
    <mergeCell ref="C179:D179"/>
    <mergeCell ref="A115:F115"/>
    <mergeCell ref="A120:F120"/>
    <mergeCell ref="E121:F121"/>
    <mergeCell ref="E122:F122"/>
    <mergeCell ref="C158:D158"/>
    <mergeCell ref="A160:F160"/>
    <mergeCell ref="E161:F161"/>
    <mergeCell ref="E162:F162"/>
    <mergeCell ref="C146:D146"/>
    <mergeCell ref="A149:F149"/>
    <mergeCell ref="A154:F154"/>
    <mergeCell ref="E155:F155"/>
    <mergeCell ref="E156:F156"/>
    <mergeCell ref="E191:F191"/>
    <mergeCell ref="C192:D192"/>
    <mergeCell ref="A194:F194"/>
    <mergeCell ref="E195:F195"/>
    <mergeCell ref="E196:F196"/>
    <mergeCell ref="C180:D180"/>
    <mergeCell ref="A183:F183"/>
    <mergeCell ref="A188:F188"/>
    <mergeCell ref="E189:F189"/>
    <mergeCell ref="E190:F190"/>
    <mergeCell ref="E223:F223"/>
    <mergeCell ref="E224:F224"/>
    <mergeCell ref="B207:B208"/>
    <mergeCell ref="A210:F210"/>
    <mergeCell ref="E207:F207"/>
    <mergeCell ref="C208:D208"/>
    <mergeCell ref="E208:F208"/>
    <mergeCell ref="A200:F200"/>
    <mergeCell ref="C201:E201"/>
    <mergeCell ref="C202:E202"/>
    <mergeCell ref="C203:E203"/>
    <mergeCell ref="C204:E204"/>
    <mergeCell ref="C248:D248"/>
    <mergeCell ref="A251:F251"/>
    <mergeCell ref="A256:F256"/>
    <mergeCell ref="E257:F257"/>
    <mergeCell ref="E258:F258"/>
    <mergeCell ref="B241:B242"/>
    <mergeCell ref="A244:F244"/>
    <mergeCell ref="E241:F241"/>
    <mergeCell ref="E242:F242"/>
    <mergeCell ref="C247:D247"/>
    <mergeCell ref="C306:E306"/>
    <mergeCell ref="E293:F293"/>
    <mergeCell ref="C294:D294"/>
    <mergeCell ref="A296:F296"/>
    <mergeCell ref="E297:F297"/>
    <mergeCell ref="E298:F298"/>
    <mergeCell ref="C282:D282"/>
    <mergeCell ref="A285:F285"/>
    <mergeCell ref="A290:F290"/>
    <mergeCell ref="E291:F291"/>
    <mergeCell ref="E292:F292"/>
    <mergeCell ref="C75:D75"/>
    <mergeCell ref="C76:D76"/>
    <mergeCell ref="A302:F302"/>
    <mergeCell ref="C303:E303"/>
    <mergeCell ref="C304:E304"/>
    <mergeCell ref="C305:E305"/>
    <mergeCell ref="B275:B276"/>
    <mergeCell ref="A278:F278"/>
    <mergeCell ref="C275:D275"/>
    <mergeCell ref="E275:F275"/>
    <mergeCell ref="C276:D276"/>
    <mergeCell ref="E276:F276"/>
    <mergeCell ref="A268:F268"/>
    <mergeCell ref="C269:E269"/>
    <mergeCell ref="C270:E270"/>
    <mergeCell ref="C271:E271"/>
    <mergeCell ref="C272:E272"/>
    <mergeCell ref="E259:F259"/>
    <mergeCell ref="C260:D260"/>
    <mergeCell ref="A262:F262"/>
    <mergeCell ref="E263:F263"/>
    <mergeCell ref="C145:D145"/>
    <mergeCell ref="C177:D177"/>
    <mergeCell ref="C178:D178"/>
    <mergeCell ref="C77:D77"/>
    <mergeCell ref="C109:D109"/>
    <mergeCell ref="C110:D110"/>
    <mergeCell ref="C111:D111"/>
    <mergeCell ref="C143:D143"/>
    <mergeCell ref="A166:F166"/>
    <mergeCell ref="C167:E167"/>
    <mergeCell ref="C168:E168"/>
    <mergeCell ref="C169:E169"/>
    <mergeCell ref="B139:B140"/>
    <mergeCell ref="A142:F142"/>
    <mergeCell ref="E139:F139"/>
    <mergeCell ref="E140:F140"/>
    <mergeCell ref="A132:F132"/>
    <mergeCell ref="C133:E133"/>
    <mergeCell ref="C134:E134"/>
    <mergeCell ref="C135:E135"/>
    <mergeCell ref="C136:E136"/>
    <mergeCell ref="E123:F123"/>
    <mergeCell ref="C124:D124"/>
    <mergeCell ref="A126:F126"/>
    <mergeCell ref="E127:F127"/>
    <mergeCell ref="E128:F128"/>
    <mergeCell ref="C112:D112"/>
    <mergeCell ref="C279:D279"/>
    <mergeCell ref="C280:D280"/>
    <mergeCell ref="C281:D281"/>
    <mergeCell ref="C4:D4"/>
    <mergeCell ref="C37:D37"/>
    <mergeCell ref="C38:D38"/>
    <mergeCell ref="C71:D71"/>
    <mergeCell ref="C72:D72"/>
    <mergeCell ref="C105:D105"/>
    <mergeCell ref="C106:D106"/>
    <mergeCell ref="C139:D139"/>
    <mergeCell ref="C140:D140"/>
    <mergeCell ref="C173:D173"/>
    <mergeCell ref="C174:D174"/>
    <mergeCell ref="C207:D207"/>
    <mergeCell ref="C211:D211"/>
    <mergeCell ref="C212:D212"/>
    <mergeCell ref="C213:D213"/>
    <mergeCell ref="C245:D245"/>
    <mergeCell ref="C246:D246"/>
    <mergeCell ref="C241:D241"/>
    <mergeCell ref="C242:D242"/>
    <mergeCell ref="C144:D144"/>
    <mergeCell ref="C170:E170"/>
    <mergeCell ref="E332:F332"/>
    <mergeCell ref="A336:F336"/>
    <mergeCell ref="C337:E337"/>
    <mergeCell ref="C338:E338"/>
    <mergeCell ref="C339:E339"/>
    <mergeCell ref="B309:B310"/>
    <mergeCell ref="C309:D309"/>
    <mergeCell ref="E309:F309"/>
    <mergeCell ref="C310:D310"/>
    <mergeCell ref="E310:F310"/>
    <mergeCell ref="A312:F312"/>
    <mergeCell ref="C313:D313"/>
    <mergeCell ref="C314:D314"/>
    <mergeCell ref="C315:D315"/>
    <mergeCell ref="C316:D316"/>
    <mergeCell ref="A319:F319"/>
    <mergeCell ref="A324:F324"/>
    <mergeCell ref="E325:F325"/>
    <mergeCell ref="E326:F326"/>
    <mergeCell ref="E327:F327"/>
    <mergeCell ref="C328:D328"/>
    <mergeCell ref="A330:F330"/>
    <mergeCell ref="E331:F331"/>
    <mergeCell ref="C340:E340"/>
    <mergeCell ref="B343:B344"/>
    <mergeCell ref="C343:D343"/>
    <mergeCell ref="E343:F343"/>
    <mergeCell ref="C344:D344"/>
    <mergeCell ref="E344:F344"/>
    <mergeCell ref="E333:F333"/>
    <mergeCell ref="B377:B378"/>
    <mergeCell ref="C377:D377"/>
    <mergeCell ref="E377:F377"/>
    <mergeCell ref="C378:D378"/>
    <mergeCell ref="E378:F378"/>
    <mergeCell ref="E367:F367"/>
    <mergeCell ref="C362:D362"/>
    <mergeCell ref="E365:F365"/>
    <mergeCell ref="E366:F366"/>
    <mergeCell ref="A370:F370"/>
    <mergeCell ref="C371:E371"/>
    <mergeCell ref="C372:E372"/>
    <mergeCell ref="C373:E373"/>
    <mergeCell ref="E361:F361"/>
    <mergeCell ref="A364:F364"/>
    <mergeCell ref="A380:F380"/>
    <mergeCell ref="C381:D381"/>
    <mergeCell ref="C382:D382"/>
    <mergeCell ref="C383:D383"/>
    <mergeCell ref="A346:F346"/>
    <mergeCell ref="C347:D347"/>
    <mergeCell ref="C348:D348"/>
    <mergeCell ref="C349:D349"/>
    <mergeCell ref="C350:D350"/>
    <mergeCell ref="A353:F353"/>
    <mergeCell ref="A358:F358"/>
    <mergeCell ref="E359:F359"/>
    <mergeCell ref="E360:F360"/>
    <mergeCell ref="C374:E374"/>
    <mergeCell ref="E393:F393"/>
    <mergeCell ref="E433:F433"/>
    <mergeCell ref="E434:F434"/>
    <mergeCell ref="C417:D417"/>
    <mergeCell ref="C418:D418"/>
    <mergeCell ref="A421:F421"/>
    <mergeCell ref="A426:F426"/>
    <mergeCell ref="B411:B412"/>
    <mergeCell ref="E400:F400"/>
    <mergeCell ref="A404:F404"/>
    <mergeCell ref="C405:E405"/>
    <mergeCell ref="C406:E406"/>
    <mergeCell ref="C407:E407"/>
    <mergeCell ref="C408:E408"/>
    <mergeCell ref="E401:F401"/>
    <mergeCell ref="C396:D396"/>
    <mergeCell ref="A398:F398"/>
    <mergeCell ref="C384:D384"/>
    <mergeCell ref="E399:F399"/>
    <mergeCell ref="A387:F387"/>
    <mergeCell ref="A392:F392"/>
    <mergeCell ref="E394:F394"/>
    <mergeCell ref="E395:F395"/>
    <mergeCell ref="E27:F27"/>
    <mergeCell ref="E61:F61"/>
    <mergeCell ref="E95:F95"/>
    <mergeCell ref="E129:F129"/>
    <mergeCell ref="E163:F163"/>
    <mergeCell ref="E197:F197"/>
    <mergeCell ref="E231:F231"/>
    <mergeCell ref="E265:F265"/>
    <mergeCell ref="E299:F299"/>
    <mergeCell ref="E157:F157"/>
    <mergeCell ref="E264:F264"/>
    <mergeCell ref="A234:F234"/>
    <mergeCell ref="C235:E235"/>
    <mergeCell ref="C236:E236"/>
    <mergeCell ref="C237:E237"/>
    <mergeCell ref="C238:E238"/>
    <mergeCell ref="E225:F225"/>
    <mergeCell ref="C226:D226"/>
    <mergeCell ref="A228:F228"/>
    <mergeCell ref="E229:F229"/>
    <mergeCell ref="E230:F230"/>
    <mergeCell ref="C214:D214"/>
    <mergeCell ref="A217:F217"/>
    <mergeCell ref="A222:F222"/>
    <mergeCell ref="C441:E441"/>
    <mergeCell ref="C442:E442"/>
    <mergeCell ref="A438:F438"/>
    <mergeCell ref="C439:E439"/>
    <mergeCell ref="C440:E440"/>
    <mergeCell ref="C411:D411"/>
    <mergeCell ref="E411:F411"/>
    <mergeCell ref="C412:D412"/>
    <mergeCell ref="E412:F412"/>
    <mergeCell ref="A414:F414"/>
    <mergeCell ref="C415:D415"/>
    <mergeCell ref="C416:D416"/>
    <mergeCell ref="E435:F435"/>
    <mergeCell ref="E427:F427"/>
    <mergeCell ref="E428:F428"/>
    <mergeCell ref="E429:F429"/>
    <mergeCell ref="C430:D430"/>
    <mergeCell ref="A432:F432"/>
  </mergeCells>
  <printOptions horizontalCentered="1" verticalCentered="1"/>
  <pageMargins left="0.31496062992125984" right="0.31496062992125984" top="0.94488188976377963" bottom="0.55118110236220474" header="0.31496062992125984" footer="0.31496062992125984"/>
  <pageSetup scale="85" orientation="portrait" r:id="rId1"/>
  <headerFooter>
    <oddHeader>&amp;L&amp;"-,Negrita"
EXTRICTAMENTE PARA CONSUMO NACIONAL - 
GUÍA DE TRANSPORTE DE CARNE DESHUESADA DE RES, CERDO Y AVIAR&amp;C
&amp;G&amp;R&amp;"-,Negrita"&amp;G</oddHeader>
    <oddFooter>&amp;C&amp;"-,Negrita"&amp;12COPIA NO CONTROLADA
Ante la duda, para certificar comuníquese a los siguientes canales:
Celular: 310 369 9499
Correo: suministrosylogisticadeoriente@gmail.com</oddFooter>
  </headerFooter>
  <rowBreaks count="12" manualBreakCount="12">
    <brk id="34" max="5" man="1"/>
    <brk id="68" max="5" man="1"/>
    <brk id="102" max="5" man="1"/>
    <brk id="136" max="5" man="1"/>
    <brk id="170" max="5" man="1"/>
    <brk id="204" max="5" man="1"/>
    <brk id="238" max="5" man="1"/>
    <brk id="272" max="5" man="1"/>
    <brk id="306" max="5" man="1"/>
    <brk id="340" max="5" man="1"/>
    <brk id="374" max="5" man="1"/>
    <brk id="408" max="5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5912-54E2-4303-87A9-8DAF7933F94B}">
  <sheetPr>
    <tabColor theme="5" tint="0.59999389629810485"/>
  </sheetPr>
  <dimension ref="A1:M442"/>
  <sheetViews>
    <sheetView view="pageBreakPreview" zoomScale="60" zoomScaleNormal="100" workbookViewId="0">
      <selection activeCell="H4" sqref="H4"/>
    </sheetView>
  </sheetViews>
  <sheetFormatPr baseColWidth="10" defaultColWidth="11.5546875" defaultRowHeight="15.05" x14ac:dyDescent="0.25"/>
  <cols>
    <col min="1" max="1" width="3.44140625" style="86" customWidth="1"/>
    <col min="2" max="2" width="24.109375" style="86" customWidth="1"/>
    <col min="3" max="3" width="23.6640625" style="86" customWidth="1"/>
    <col min="4" max="4" width="22.33203125" style="86" bestFit="1" customWidth="1"/>
    <col min="5" max="5" width="20.33203125" style="86" customWidth="1"/>
    <col min="6" max="8" width="23.6640625" style="86" customWidth="1"/>
    <col min="9" max="9" width="73.6640625" style="86" bestFit="1" customWidth="1"/>
    <col min="10" max="10" width="11.5546875" style="86"/>
    <col min="11" max="11" width="16.6640625" style="86" bestFit="1" customWidth="1"/>
    <col min="12" max="12" width="11.5546875" style="86" customWidth="1"/>
    <col min="13" max="16384" width="11.5546875" style="86"/>
  </cols>
  <sheetData>
    <row r="1" spans="1:13" x14ac:dyDescent="0.25">
      <c r="B1" s="121"/>
    </row>
    <row r="2" spans="1:13" ht="15.75" thickBot="1" x14ac:dyDescent="0.3">
      <c r="H2" s="104" t="s">
        <v>54</v>
      </c>
      <c r="I2" s="95" t="s">
        <v>88</v>
      </c>
      <c r="K2" s="86" t="s">
        <v>27</v>
      </c>
      <c r="M2" s="86" t="s">
        <v>139</v>
      </c>
    </row>
    <row r="3" spans="1:13" ht="23.6" thickBot="1" x14ac:dyDescent="0.3">
      <c r="B3" s="209" t="s">
        <v>137</v>
      </c>
      <c r="C3" s="200" t="s">
        <v>89</v>
      </c>
      <c r="D3" s="200"/>
      <c r="E3" s="201" t="s">
        <v>90</v>
      </c>
      <c r="F3" s="201"/>
      <c r="G3" s="137" t="s">
        <v>23</v>
      </c>
      <c r="H3" s="104" t="s">
        <v>172</v>
      </c>
      <c r="I3" s="108" t="str">
        <f>+VLOOKUP($G3,$K$2:$M$15,2,FALSE)&amp;$H$3&amp;$H$2</f>
        <v>124RES</v>
      </c>
      <c r="K3" s="107" t="s">
        <v>23</v>
      </c>
      <c r="L3" s="115">
        <v>1</v>
      </c>
      <c r="M3" s="115" t="s">
        <v>140</v>
      </c>
    </row>
    <row r="4" spans="1:13" ht="25.2" customHeight="1" thickBot="1" x14ac:dyDescent="0.3">
      <c r="B4" s="210"/>
      <c r="C4" s="202"/>
      <c r="D4" s="202"/>
      <c r="E4" s="203" t="str">
        <f>+$F$7&amp;"-"&amp;$I3&amp;"-"&amp;2025</f>
        <v>170AC-124RES-2025</v>
      </c>
      <c r="F4" s="203"/>
      <c r="G4" s="138">
        <f>+VLOOKUP($G3,$K$2:$M$15,2,FALSE)</f>
        <v>1</v>
      </c>
      <c r="H4" s="97"/>
      <c r="K4" s="107" t="s">
        <v>17</v>
      </c>
      <c r="L4" s="115">
        <v>2</v>
      </c>
      <c r="M4" s="115" t="s">
        <v>141</v>
      </c>
    </row>
    <row r="5" spans="1:13" ht="15.75" thickBot="1" x14ac:dyDescent="0.3">
      <c r="K5" s="107" t="s">
        <v>9</v>
      </c>
      <c r="L5" s="115">
        <v>3</v>
      </c>
      <c r="M5" s="115" t="s">
        <v>142</v>
      </c>
    </row>
    <row r="6" spans="1:13" ht="15.75" thickBot="1" x14ac:dyDescent="0.3">
      <c r="A6" s="189" t="s">
        <v>91</v>
      </c>
      <c r="B6" s="189"/>
      <c r="C6" s="189"/>
      <c r="D6" s="189"/>
      <c r="E6" s="189"/>
      <c r="F6" s="189"/>
      <c r="G6" s="98"/>
      <c r="H6" s="91" t="s">
        <v>107</v>
      </c>
      <c r="I6" s="106" t="s">
        <v>54</v>
      </c>
      <c r="K6" s="107" t="s">
        <v>14</v>
      </c>
      <c r="L6" s="115">
        <v>4</v>
      </c>
      <c r="M6" s="115" t="s">
        <v>143</v>
      </c>
    </row>
    <row r="7" spans="1:13" ht="29.95" customHeight="1" x14ac:dyDescent="0.25">
      <c r="B7" s="87" t="s">
        <v>92</v>
      </c>
      <c r="C7" s="204" t="s">
        <v>135</v>
      </c>
      <c r="D7" s="204"/>
      <c r="E7" s="87" t="s">
        <v>93</v>
      </c>
      <c r="F7" s="88" t="s">
        <v>138</v>
      </c>
      <c r="H7" s="91" t="s">
        <v>107</v>
      </c>
      <c r="I7" s="95">
        <f>+SUMIF($B$7:$B$442,$H$7,$E$7:$E$442)</f>
        <v>0</v>
      </c>
      <c r="K7" s="107" t="s">
        <v>21</v>
      </c>
      <c r="L7" s="115">
        <v>5</v>
      </c>
      <c r="M7" s="115" t="s">
        <v>144</v>
      </c>
    </row>
    <row r="8" spans="1:13" ht="29.95" customHeight="1" x14ac:dyDescent="0.25">
      <c r="B8" s="87" t="s">
        <v>94</v>
      </c>
      <c r="C8" s="204" t="s">
        <v>124</v>
      </c>
      <c r="D8" s="204"/>
      <c r="E8" s="87" t="s">
        <v>95</v>
      </c>
      <c r="F8" s="88" t="s">
        <v>23</v>
      </c>
      <c r="K8" s="107" t="s">
        <v>20</v>
      </c>
      <c r="L8" s="115">
        <v>6</v>
      </c>
      <c r="M8" s="115" t="s">
        <v>145</v>
      </c>
    </row>
    <row r="9" spans="1:13" ht="29.95" customHeight="1" x14ac:dyDescent="0.25">
      <c r="B9" s="87" t="s">
        <v>96</v>
      </c>
      <c r="C9" s="208" t="s">
        <v>136</v>
      </c>
      <c r="D9" s="208"/>
      <c r="E9" s="87" t="s">
        <v>97</v>
      </c>
      <c r="F9" s="114" t="s">
        <v>125</v>
      </c>
      <c r="K9" s="107" t="s">
        <v>67</v>
      </c>
      <c r="L9" s="115">
        <v>7</v>
      </c>
      <c r="M9" s="115" t="s">
        <v>146</v>
      </c>
    </row>
    <row r="10" spans="1:13" ht="29.95" customHeight="1" x14ac:dyDescent="0.25">
      <c r="B10" s="87" t="s">
        <v>98</v>
      </c>
      <c r="C10" s="191"/>
      <c r="D10" s="191"/>
      <c r="E10" s="87" t="s">
        <v>99</v>
      </c>
      <c r="F10" s="110"/>
      <c r="K10" s="107" t="s">
        <v>32</v>
      </c>
      <c r="L10" s="115">
        <v>8</v>
      </c>
      <c r="M10" s="115" t="s">
        <v>147</v>
      </c>
    </row>
    <row r="11" spans="1:13" x14ac:dyDescent="0.25">
      <c r="I11" s="105"/>
      <c r="K11" s="107" t="s">
        <v>33</v>
      </c>
      <c r="L11" s="115">
        <v>9</v>
      </c>
      <c r="M11" s="115" t="s">
        <v>148</v>
      </c>
    </row>
    <row r="12" spans="1:13" x14ac:dyDescent="0.25">
      <c r="K12" s="107" t="s">
        <v>38</v>
      </c>
      <c r="L12" s="115">
        <v>10</v>
      </c>
      <c r="M12" s="115" t="s">
        <v>149</v>
      </c>
    </row>
    <row r="13" spans="1:13" x14ac:dyDescent="0.25">
      <c r="A13" s="189" t="s">
        <v>100</v>
      </c>
      <c r="B13" s="189"/>
      <c r="C13" s="189"/>
      <c r="D13" s="189"/>
      <c r="E13" s="192"/>
      <c r="F13" s="192"/>
      <c r="G13" s="98"/>
      <c r="H13" s="98"/>
      <c r="K13" s="107" t="s">
        <v>43</v>
      </c>
      <c r="L13" s="115">
        <v>11</v>
      </c>
      <c r="M13" s="115" t="s">
        <v>150</v>
      </c>
    </row>
    <row r="14" spans="1:13" ht="30.15" x14ac:dyDescent="0.25">
      <c r="A14" s="87" t="s">
        <v>101</v>
      </c>
      <c r="B14" s="89" t="s">
        <v>102</v>
      </c>
      <c r="C14" s="89" t="s">
        <v>103</v>
      </c>
      <c r="D14" s="89" t="s">
        <v>104</v>
      </c>
      <c r="E14" s="89" t="s">
        <v>105</v>
      </c>
      <c r="F14" s="89" t="s">
        <v>106</v>
      </c>
      <c r="G14" s="99"/>
      <c r="H14" s="99"/>
      <c r="K14" s="107" t="s">
        <v>45</v>
      </c>
      <c r="L14" s="115">
        <v>12</v>
      </c>
      <c r="M14" s="115" t="s">
        <v>155</v>
      </c>
    </row>
    <row r="15" spans="1:13" ht="20.149999999999999" customHeight="1" x14ac:dyDescent="0.25">
      <c r="A15" s="90">
        <v>1</v>
      </c>
      <c r="B15" s="91" t="s">
        <v>107</v>
      </c>
      <c r="C15" s="88" t="str">
        <f>+$I$6</f>
        <v>RES</v>
      </c>
      <c r="D15" s="91"/>
      <c r="E15" s="88">
        <f>+VLOOKUP($G4,CÁRNICOS!$BW$85:$CA$103,4,FALSE)</f>
        <v>0</v>
      </c>
      <c r="F15" s="91"/>
      <c r="G15" s="100"/>
      <c r="H15" s="100"/>
      <c r="K15" s="107" t="s">
        <v>151</v>
      </c>
      <c r="L15" s="115">
        <v>13</v>
      </c>
      <c r="M15" s="115" t="s">
        <v>152</v>
      </c>
    </row>
    <row r="16" spans="1:13" ht="20.149999999999999" customHeight="1" x14ac:dyDescent="0.25">
      <c r="A16" s="90">
        <v>2</v>
      </c>
      <c r="B16" s="91" t="s">
        <v>108</v>
      </c>
      <c r="C16" s="91"/>
      <c r="D16" s="91"/>
      <c r="E16" s="91"/>
      <c r="F16" s="91"/>
      <c r="G16" s="100"/>
      <c r="H16" s="100"/>
    </row>
    <row r="18" spans="1:8" x14ac:dyDescent="0.25">
      <c r="A18" s="189" t="s">
        <v>109</v>
      </c>
      <c r="B18" s="189"/>
      <c r="C18" s="189"/>
      <c r="D18" s="189"/>
      <c r="E18" s="192"/>
      <c r="F18" s="192"/>
      <c r="G18" s="98"/>
      <c r="H18" s="98"/>
    </row>
    <row r="19" spans="1:8" ht="25.2" customHeight="1" x14ac:dyDescent="0.25">
      <c r="B19" s="87" t="s">
        <v>110</v>
      </c>
      <c r="C19" s="92"/>
      <c r="D19" s="87" t="s">
        <v>111</v>
      </c>
      <c r="E19" s="206"/>
      <c r="F19" s="206"/>
      <c r="G19" s="101"/>
      <c r="H19" s="101"/>
    </row>
    <row r="20" spans="1:8" ht="25.2" customHeight="1" x14ac:dyDescent="0.25">
      <c r="B20" s="87" t="s">
        <v>112</v>
      </c>
      <c r="C20" s="92"/>
      <c r="D20" s="87" t="s">
        <v>113</v>
      </c>
      <c r="E20" s="206"/>
      <c r="F20" s="206"/>
      <c r="G20" s="101"/>
      <c r="H20" s="101"/>
    </row>
    <row r="21" spans="1:8" ht="25.2" customHeight="1" x14ac:dyDescent="0.25">
      <c r="D21" s="87" t="s">
        <v>97</v>
      </c>
      <c r="E21" s="207"/>
      <c r="F21" s="207"/>
      <c r="G21" s="102"/>
      <c r="H21" s="102"/>
    </row>
    <row r="22" spans="1:8" ht="25.2" customHeight="1" x14ac:dyDescent="0.25">
      <c r="B22" s="87" t="s">
        <v>114</v>
      </c>
      <c r="C22" s="191"/>
      <c r="D22" s="191"/>
      <c r="E22" s="93" t="s">
        <v>115</v>
      </c>
      <c r="F22" s="113"/>
    </row>
    <row r="24" spans="1:8" x14ac:dyDescent="0.25">
      <c r="A24" s="189" t="s">
        <v>116</v>
      </c>
      <c r="B24" s="189"/>
      <c r="C24" s="189"/>
      <c r="D24" s="189"/>
      <c r="E24" s="189"/>
      <c r="F24" s="189"/>
      <c r="G24" s="98"/>
      <c r="H24" s="98"/>
    </row>
    <row r="25" spans="1:8" ht="25.2" customHeight="1" x14ac:dyDescent="0.25">
      <c r="B25" s="93" t="s">
        <v>94</v>
      </c>
      <c r="C25" s="96" t="s">
        <v>124</v>
      </c>
      <c r="D25" s="87" t="s">
        <v>117</v>
      </c>
      <c r="E25" s="190"/>
      <c r="F25" s="190"/>
      <c r="G25" s="103"/>
      <c r="H25" s="103"/>
    </row>
    <row r="26" spans="1:8" ht="25.2" customHeight="1" x14ac:dyDescent="0.25">
      <c r="B26" s="93" t="s">
        <v>95</v>
      </c>
      <c r="C26" s="111" t="str">
        <f>+$G3</f>
        <v>LA DORADA</v>
      </c>
      <c r="D26" s="87" t="s">
        <v>118</v>
      </c>
      <c r="E26" s="190"/>
      <c r="F26" s="190"/>
      <c r="G26" s="103"/>
      <c r="H26" s="103"/>
    </row>
    <row r="27" spans="1:8" ht="25.2" customHeight="1" x14ac:dyDescent="0.25">
      <c r="B27" s="93" t="s">
        <v>119</v>
      </c>
      <c r="C27" s="112"/>
      <c r="D27" s="87" t="s">
        <v>153</v>
      </c>
      <c r="E27" s="205" t="str">
        <f>+VLOOKUP($G3,$K$2:$M$15,3,FALSE)</f>
        <v>CRA 11 # 17-19 EL CABRERO</v>
      </c>
      <c r="F27" s="205"/>
    </row>
    <row r="28" spans="1:8" ht="25.2" customHeight="1" x14ac:dyDescent="0.25">
      <c r="B28" s="93" t="s">
        <v>120</v>
      </c>
      <c r="C28" s="112"/>
    </row>
    <row r="30" spans="1:8" x14ac:dyDescent="0.25">
      <c r="A30" s="189" t="s">
        <v>121</v>
      </c>
      <c r="B30" s="189"/>
      <c r="C30" s="192"/>
      <c r="D30" s="192"/>
      <c r="E30" s="192"/>
      <c r="F30" s="189"/>
      <c r="G30" s="98"/>
      <c r="H30" s="98"/>
    </row>
    <row r="31" spans="1:8" ht="25.2" customHeight="1" x14ac:dyDescent="0.25">
      <c r="B31" s="93" t="s">
        <v>158</v>
      </c>
      <c r="C31" s="193" t="s">
        <v>171</v>
      </c>
      <c r="D31" s="194"/>
      <c r="E31" s="195"/>
    </row>
    <row r="32" spans="1:8" ht="25.2" customHeight="1" x14ac:dyDescent="0.25">
      <c r="B32" s="87" t="s">
        <v>113</v>
      </c>
      <c r="C32" s="199">
        <v>1298501</v>
      </c>
      <c r="D32" s="194"/>
      <c r="E32" s="195"/>
    </row>
    <row r="33" spans="1:9" ht="25.2" customHeight="1" x14ac:dyDescent="0.25">
      <c r="B33" s="87" t="s">
        <v>122</v>
      </c>
      <c r="C33" s="193" t="s">
        <v>159</v>
      </c>
      <c r="D33" s="194"/>
      <c r="E33" s="195"/>
    </row>
    <row r="34" spans="1:9" ht="25.2" customHeight="1" x14ac:dyDescent="0.25">
      <c r="B34" s="87" t="s">
        <v>123</v>
      </c>
      <c r="C34" s="196"/>
      <c r="D34" s="197"/>
      <c r="E34" s="198"/>
    </row>
    <row r="36" spans="1:9" ht="15.75" thickBot="1" x14ac:dyDescent="0.3">
      <c r="I36" s="95" t="s">
        <v>88</v>
      </c>
    </row>
    <row r="37" spans="1:9" ht="23.4" customHeight="1" thickBot="1" x14ac:dyDescent="0.3">
      <c r="B37" s="209" t="str">
        <f>+$B$3</f>
        <v>CÓDIGO INVIMA: 170AC</v>
      </c>
      <c r="C37" s="200" t="s">
        <v>89</v>
      </c>
      <c r="D37" s="200"/>
      <c r="E37" s="201" t="s">
        <v>90</v>
      </c>
      <c r="F37" s="201"/>
      <c r="G37" s="94" t="s">
        <v>17</v>
      </c>
      <c r="H37" s="109" t="str">
        <f>+$H$3</f>
        <v>24</v>
      </c>
      <c r="I37" s="108" t="str">
        <f>+VLOOKUP($G37,$K$2:$M$15,2,FALSE)&amp;$H$3&amp;$H$2</f>
        <v>224RES</v>
      </c>
    </row>
    <row r="38" spans="1:9" ht="25.2" customHeight="1" thickBot="1" x14ac:dyDescent="0.3">
      <c r="B38" s="210"/>
      <c r="C38" s="202"/>
      <c r="D38" s="202"/>
      <c r="E38" s="203" t="str">
        <f>+$F$7&amp;"-"&amp;$I37&amp;"-"&amp;2025</f>
        <v>170AC-224RES-2025</v>
      </c>
      <c r="F38" s="203"/>
      <c r="G38" s="138">
        <f>+VLOOKUP($G37,$K$2:$M$15,2,FALSE)</f>
        <v>2</v>
      </c>
      <c r="H38" s="97"/>
    </row>
    <row r="40" spans="1:9" x14ac:dyDescent="0.25">
      <c r="A40" s="189" t="s">
        <v>91</v>
      </c>
      <c r="B40" s="189"/>
      <c r="C40" s="189"/>
      <c r="D40" s="189"/>
      <c r="E40" s="189"/>
      <c r="F40" s="189"/>
      <c r="G40" s="98"/>
      <c r="H40" s="98"/>
    </row>
    <row r="41" spans="1:9" ht="29.95" customHeight="1" x14ac:dyDescent="0.25">
      <c r="B41" s="87" t="s">
        <v>92</v>
      </c>
      <c r="C41" s="204" t="s">
        <v>135</v>
      </c>
      <c r="D41" s="204"/>
      <c r="E41" s="87" t="s">
        <v>93</v>
      </c>
      <c r="F41" s="88" t="s">
        <v>138</v>
      </c>
    </row>
    <row r="42" spans="1:9" ht="29.95" customHeight="1" x14ac:dyDescent="0.25">
      <c r="B42" s="87" t="s">
        <v>94</v>
      </c>
      <c r="C42" s="204" t="s">
        <v>124</v>
      </c>
      <c r="D42" s="204"/>
      <c r="E42" s="87" t="s">
        <v>95</v>
      </c>
      <c r="F42" s="88" t="s">
        <v>23</v>
      </c>
    </row>
    <row r="43" spans="1:9" ht="29.95" customHeight="1" x14ac:dyDescent="0.25">
      <c r="B43" s="87" t="s">
        <v>96</v>
      </c>
      <c r="C43" s="208" t="s">
        <v>136</v>
      </c>
      <c r="D43" s="208"/>
      <c r="E43" s="87" t="s">
        <v>97</v>
      </c>
      <c r="F43" s="114" t="s">
        <v>125</v>
      </c>
    </row>
    <row r="44" spans="1:9" ht="29.95" customHeight="1" x14ac:dyDescent="0.25">
      <c r="B44" s="87" t="s">
        <v>98</v>
      </c>
      <c r="C44" s="191"/>
      <c r="D44" s="191"/>
      <c r="E44" s="87" t="s">
        <v>99</v>
      </c>
      <c r="F44" s="110"/>
    </row>
    <row r="45" spans="1:9" x14ac:dyDescent="0.25">
      <c r="I45" s="105"/>
    </row>
    <row r="47" spans="1:9" x14ac:dyDescent="0.25">
      <c r="A47" s="189" t="s">
        <v>100</v>
      </c>
      <c r="B47" s="189"/>
      <c r="C47" s="189"/>
      <c r="D47" s="189"/>
      <c r="E47" s="192"/>
      <c r="F47" s="192"/>
      <c r="G47" s="98"/>
      <c r="H47" s="98"/>
    </row>
    <row r="48" spans="1:9" ht="30.15" x14ac:dyDescent="0.25">
      <c r="A48" s="87" t="s">
        <v>101</v>
      </c>
      <c r="B48" s="89" t="s">
        <v>102</v>
      </c>
      <c r="C48" s="89" t="s">
        <v>103</v>
      </c>
      <c r="D48" s="89" t="s">
        <v>104</v>
      </c>
      <c r="E48" s="89" t="s">
        <v>105</v>
      </c>
      <c r="F48" s="89" t="s">
        <v>106</v>
      </c>
      <c r="G48" s="99"/>
      <c r="H48" s="99"/>
    </row>
    <row r="49" spans="1:8" ht="20.149999999999999" customHeight="1" x14ac:dyDescent="0.25">
      <c r="A49" s="90">
        <v>1</v>
      </c>
      <c r="B49" s="91" t="s">
        <v>107</v>
      </c>
      <c r="C49" s="88" t="str">
        <f>+$I$6</f>
        <v>RES</v>
      </c>
      <c r="D49" s="91"/>
      <c r="E49" s="88">
        <f>+VLOOKUP($G38,CÁRNICOS!$BW$85:$CA$103,4,FALSE)</f>
        <v>0</v>
      </c>
      <c r="F49" s="91"/>
      <c r="G49" s="100"/>
      <c r="H49" s="100"/>
    </row>
    <row r="50" spans="1:8" ht="20.149999999999999" customHeight="1" x14ac:dyDescent="0.25">
      <c r="A50" s="90">
        <v>2</v>
      </c>
      <c r="B50" s="91" t="s">
        <v>108</v>
      </c>
      <c r="C50" s="91"/>
      <c r="D50" s="91"/>
      <c r="E50" s="91"/>
      <c r="F50" s="91"/>
      <c r="G50" s="100"/>
      <c r="H50" s="100"/>
    </row>
    <row r="52" spans="1:8" x14ac:dyDescent="0.25">
      <c r="A52" s="189" t="s">
        <v>109</v>
      </c>
      <c r="B52" s="189"/>
      <c r="C52" s="189"/>
      <c r="D52" s="189"/>
      <c r="E52" s="192"/>
      <c r="F52" s="192"/>
      <c r="G52" s="98"/>
      <c r="H52" s="98"/>
    </row>
    <row r="53" spans="1:8" ht="25.2" customHeight="1" x14ac:dyDescent="0.25">
      <c r="B53" s="87" t="s">
        <v>110</v>
      </c>
      <c r="C53" s="92"/>
      <c r="D53" s="87" t="s">
        <v>111</v>
      </c>
      <c r="E53" s="206"/>
      <c r="F53" s="206"/>
      <c r="G53" s="101"/>
      <c r="H53" s="101"/>
    </row>
    <row r="54" spans="1:8" ht="25.2" customHeight="1" x14ac:dyDescent="0.25">
      <c r="B54" s="87" t="s">
        <v>112</v>
      </c>
      <c r="C54" s="92"/>
      <c r="D54" s="87" t="s">
        <v>113</v>
      </c>
      <c r="E54" s="206"/>
      <c r="F54" s="206"/>
      <c r="G54" s="101"/>
      <c r="H54" s="101"/>
    </row>
    <row r="55" spans="1:8" ht="25.2" customHeight="1" x14ac:dyDescent="0.25">
      <c r="D55" s="87" t="s">
        <v>97</v>
      </c>
      <c r="E55" s="207"/>
      <c r="F55" s="207"/>
      <c r="G55" s="102"/>
      <c r="H55" s="102"/>
    </row>
    <row r="56" spans="1:8" ht="25.2" customHeight="1" x14ac:dyDescent="0.25">
      <c r="B56" s="87" t="s">
        <v>114</v>
      </c>
      <c r="C56" s="191"/>
      <c r="D56" s="191"/>
      <c r="E56" s="93" t="s">
        <v>115</v>
      </c>
      <c r="F56" s="113"/>
    </row>
    <row r="58" spans="1:8" x14ac:dyDescent="0.25">
      <c r="A58" s="189" t="s">
        <v>116</v>
      </c>
      <c r="B58" s="189"/>
      <c r="C58" s="189"/>
      <c r="D58" s="189"/>
      <c r="E58" s="189"/>
      <c r="F58" s="189"/>
      <c r="G58" s="98"/>
      <c r="H58" s="98"/>
    </row>
    <row r="59" spans="1:8" ht="25.2" customHeight="1" x14ac:dyDescent="0.25">
      <c r="B59" s="93" t="s">
        <v>94</v>
      </c>
      <c r="C59" s="96" t="s">
        <v>124</v>
      </c>
      <c r="D59" s="87" t="s">
        <v>117</v>
      </c>
      <c r="E59" s="190"/>
      <c r="F59" s="190"/>
      <c r="G59" s="103"/>
      <c r="H59" s="103"/>
    </row>
    <row r="60" spans="1:8" ht="25.2" customHeight="1" x14ac:dyDescent="0.25">
      <c r="B60" s="93" t="s">
        <v>95</v>
      </c>
      <c r="C60" s="111" t="str">
        <f>+$G37</f>
        <v>NORCASIA</v>
      </c>
      <c r="D60" s="87" t="s">
        <v>118</v>
      </c>
      <c r="E60" s="190"/>
      <c r="F60" s="190"/>
      <c r="G60" s="103"/>
      <c r="H60" s="103"/>
    </row>
    <row r="61" spans="1:8" ht="25.2" customHeight="1" x14ac:dyDescent="0.25">
      <c r="B61" s="93" t="s">
        <v>119</v>
      </c>
      <c r="C61" s="112"/>
      <c r="D61" s="87" t="s">
        <v>153</v>
      </c>
      <c r="E61" s="205" t="str">
        <f>+VLOOKUP($G37,$K$2:$M$15,3,FALSE)</f>
        <v>CRA 5 # 14-12</v>
      </c>
      <c r="F61" s="205"/>
    </row>
    <row r="62" spans="1:8" ht="25.2" customHeight="1" x14ac:dyDescent="0.25">
      <c r="B62" s="93" t="s">
        <v>120</v>
      </c>
      <c r="C62" s="112"/>
    </row>
    <row r="64" spans="1:8" x14ac:dyDescent="0.25">
      <c r="A64" s="189" t="s">
        <v>121</v>
      </c>
      <c r="B64" s="189"/>
      <c r="C64" s="192"/>
      <c r="D64" s="192"/>
      <c r="E64" s="192"/>
      <c r="F64" s="189"/>
      <c r="G64" s="98"/>
      <c r="H64" s="98"/>
    </row>
    <row r="65" spans="1:9" ht="25.2" customHeight="1" x14ac:dyDescent="0.25">
      <c r="B65" s="93" t="s">
        <v>158</v>
      </c>
      <c r="C65" s="193" t="s">
        <v>171</v>
      </c>
      <c r="D65" s="194"/>
      <c r="E65" s="195"/>
    </row>
    <row r="66" spans="1:9" ht="25.2" customHeight="1" x14ac:dyDescent="0.25">
      <c r="B66" s="87" t="s">
        <v>113</v>
      </c>
      <c r="C66" s="199">
        <v>1298501</v>
      </c>
      <c r="D66" s="194"/>
      <c r="E66" s="195"/>
    </row>
    <row r="67" spans="1:9" ht="25.2" customHeight="1" x14ac:dyDescent="0.25">
      <c r="B67" s="87" t="s">
        <v>122</v>
      </c>
      <c r="C67" s="193" t="s">
        <v>159</v>
      </c>
      <c r="D67" s="194"/>
      <c r="E67" s="195"/>
    </row>
    <row r="68" spans="1:9" ht="25.2" customHeight="1" x14ac:dyDescent="0.25">
      <c r="B68" s="87" t="s">
        <v>123</v>
      </c>
      <c r="C68" s="196"/>
      <c r="D68" s="197"/>
      <c r="E68" s="198"/>
    </row>
    <row r="70" spans="1:9" ht="15.75" thickBot="1" x14ac:dyDescent="0.3">
      <c r="I70" s="95" t="s">
        <v>88</v>
      </c>
    </row>
    <row r="71" spans="1:9" ht="23.4" customHeight="1" thickBot="1" x14ac:dyDescent="0.3">
      <c r="B71" s="209" t="str">
        <f>+$B$3</f>
        <v>CÓDIGO INVIMA: 170AC</v>
      </c>
      <c r="C71" s="200" t="s">
        <v>89</v>
      </c>
      <c r="D71" s="200"/>
      <c r="E71" s="201" t="s">
        <v>90</v>
      </c>
      <c r="F71" s="201"/>
      <c r="G71" s="94" t="s">
        <v>9</v>
      </c>
      <c r="H71" s="109" t="str">
        <f>+$H$3</f>
        <v>24</v>
      </c>
      <c r="I71" s="108" t="str">
        <f>+VLOOKUP($G71,$K$2:$M$15,2,FALSE)&amp;$H$3&amp;$H$2</f>
        <v>324RES</v>
      </c>
    </row>
    <row r="72" spans="1:9" ht="25.2" customHeight="1" thickBot="1" x14ac:dyDescent="0.3">
      <c r="B72" s="210"/>
      <c r="C72" s="202"/>
      <c r="D72" s="202"/>
      <c r="E72" s="203" t="str">
        <f>+$F$7&amp;"-"&amp;$I71&amp;"-"&amp;2025</f>
        <v>170AC-324RES-2025</v>
      </c>
      <c r="F72" s="203"/>
      <c r="G72" s="138">
        <f>+VLOOKUP($G71,$K$2:$M$15,2,FALSE)</f>
        <v>3</v>
      </c>
      <c r="H72" s="97"/>
    </row>
    <row r="74" spans="1:9" x14ac:dyDescent="0.25">
      <c r="A74" s="189" t="s">
        <v>91</v>
      </c>
      <c r="B74" s="189"/>
      <c r="C74" s="189"/>
      <c r="D74" s="189"/>
      <c r="E74" s="189"/>
      <c r="F74" s="189"/>
      <c r="G74" s="98"/>
      <c r="H74" s="98"/>
    </row>
    <row r="75" spans="1:9" ht="29.95" customHeight="1" x14ac:dyDescent="0.25">
      <c r="B75" s="87" t="s">
        <v>92</v>
      </c>
      <c r="C75" s="204" t="s">
        <v>135</v>
      </c>
      <c r="D75" s="204"/>
      <c r="E75" s="87" t="s">
        <v>93</v>
      </c>
      <c r="F75" s="88" t="s">
        <v>138</v>
      </c>
    </row>
    <row r="76" spans="1:9" ht="29.95" customHeight="1" x14ac:dyDescent="0.25">
      <c r="B76" s="87" t="s">
        <v>94</v>
      </c>
      <c r="C76" s="204" t="s">
        <v>124</v>
      </c>
      <c r="D76" s="204"/>
      <c r="E76" s="87" t="s">
        <v>95</v>
      </c>
      <c r="F76" s="88" t="s">
        <v>23</v>
      </c>
    </row>
    <row r="77" spans="1:9" ht="29.95" customHeight="1" x14ac:dyDescent="0.25">
      <c r="B77" s="87" t="s">
        <v>96</v>
      </c>
      <c r="C77" s="208" t="s">
        <v>136</v>
      </c>
      <c r="D77" s="208"/>
      <c r="E77" s="87" t="s">
        <v>97</v>
      </c>
      <c r="F77" s="114" t="s">
        <v>125</v>
      </c>
    </row>
    <row r="78" spans="1:9" ht="29.95" customHeight="1" x14ac:dyDescent="0.25">
      <c r="B78" s="87" t="s">
        <v>98</v>
      </c>
      <c r="C78" s="191"/>
      <c r="D78" s="191"/>
      <c r="E78" s="87" t="s">
        <v>99</v>
      </c>
      <c r="F78" s="110"/>
    </row>
    <row r="79" spans="1:9" x14ac:dyDescent="0.25">
      <c r="I79" s="105"/>
    </row>
    <row r="81" spans="1:8" x14ac:dyDescent="0.25">
      <c r="A81" s="189" t="s">
        <v>100</v>
      </c>
      <c r="B81" s="189"/>
      <c r="C81" s="189"/>
      <c r="D81" s="189"/>
      <c r="E81" s="192"/>
      <c r="F81" s="192"/>
      <c r="G81" s="98"/>
      <c r="H81" s="98"/>
    </row>
    <row r="82" spans="1:8" ht="30.15" x14ac:dyDescent="0.25">
      <c r="A82" s="87" t="s">
        <v>101</v>
      </c>
      <c r="B82" s="89" t="s">
        <v>102</v>
      </c>
      <c r="C82" s="89" t="s">
        <v>103</v>
      </c>
      <c r="D82" s="89" t="s">
        <v>104</v>
      </c>
      <c r="E82" s="89" t="s">
        <v>105</v>
      </c>
      <c r="F82" s="89" t="s">
        <v>106</v>
      </c>
      <c r="G82" s="99"/>
      <c r="H82" s="99"/>
    </row>
    <row r="83" spans="1:8" ht="20.149999999999999" customHeight="1" x14ac:dyDescent="0.25">
      <c r="A83" s="90">
        <v>1</v>
      </c>
      <c r="B83" s="91" t="s">
        <v>107</v>
      </c>
      <c r="C83" s="88" t="str">
        <f>+$I$6</f>
        <v>RES</v>
      </c>
      <c r="D83" s="91"/>
      <c r="E83" s="88">
        <f>+VLOOKUP($G72,CÁRNICOS!$BW$85:$CA$103,4,FALSE)</f>
        <v>0</v>
      </c>
      <c r="F83" s="91"/>
      <c r="G83" s="100"/>
      <c r="H83" s="100"/>
    </row>
    <row r="84" spans="1:8" ht="20.149999999999999" customHeight="1" x14ac:dyDescent="0.25">
      <c r="A84" s="90">
        <v>2</v>
      </c>
      <c r="B84" s="91" t="s">
        <v>108</v>
      </c>
      <c r="C84" s="91"/>
      <c r="D84" s="91"/>
      <c r="E84" s="91"/>
      <c r="F84" s="91"/>
      <c r="G84" s="100"/>
      <c r="H84" s="100"/>
    </row>
    <row r="86" spans="1:8" x14ac:dyDescent="0.25">
      <c r="A86" s="189" t="s">
        <v>109</v>
      </c>
      <c r="B86" s="189"/>
      <c r="C86" s="189"/>
      <c r="D86" s="189"/>
      <c r="E86" s="192"/>
      <c r="F86" s="192"/>
      <c r="G86" s="98"/>
      <c r="H86" s="98"/>
    </row>
    <row r="87" spans="1:8" ht="25.2" customHeight="1" x14ac:dyDescent="0.25">
      <c r="B87" s="87" t="s">
        <v>110</v>
      </c>
      <c r="C87" s="92"/>
      <c r="D87" s="87" t="s">
        <v>111</v>
      </c>
      <c r="E87" s="206"/>
      <c r="F87" s="206"/>
      <c r="G87" s="101"/>
      <c r="H87" s="101"/>
    </row>
    <row r="88" spans="1:8" ht="25.2" customHeight="1" x14ac:dyDescent="0.25">
      <c r="B88" s="87" t="s">
        <v>112</v>
      </c>
      <c r="C88" s="92"/>
      <c r="D88" s="87" t="s">
        <v>113</v>
      </c>
      <c r="E88" s="206"/>
      <c r="F88" s="206"/>
      <c r="G88" s="101"/>
      <c r="H88" s="101"/>
    </row>
    <row r="89" spans="1:8" ht="25.2" customHeight="1" x14ac:dyDescent="0.25">
      <c r="D89" s="87" t="s">
        <v>97</v>
      </c>
      <c r="E89" s="207"/>
      <c r="F89" s="207"/>
      <c r="G89" s="102"/>
      <c r="H89" s="102"/>
    </row>
    <row r="90" spans="1:8" ht="25.2" customHeight="1" x14ac:dyDescent="0.25">
      <c r="B90" s="87" t="s">
        <v>114</v>
      </c>
      <c r="C90" s="191"/>
      <c r="D90" s="191"/>
      <c r="E90" s="93" t="s">
        <v>115</v>
      </c>
      <c r="F90" s="113"/>
    </row>
    <row r="92" spans="1:8" x14ac:dyDescent="0.25">
      <c r="A92" s="189" t="s">
        <v>116</v>
      </c>
      <c r="B92" s="189"/>
      <c r="C92" s="189"/>
      <c r="D92" s="189"/>
      <c r="E92" s="189"/>
      <c r="F92" s="189"/>
      <c r="G92" s="98"/>
      <c r="H92" s="98"/>
    </row>
    <row r="93" spans="1:8" ht="25.2" customHeight="1" x14ac:dyDescent="0.25">
      <c r="B93" s="93" t="s">
        <v>94</v>
      </c>
      <c r="C93" s="96" t="s">
        <v>124</v>
      </c>
      <c r="D93" s="87" t="s">
        <v>117</v>
      </c>
      <c r="E93" s="190"/>
      <c r="F93" s="190"/>
      <c r="G93" s="103"/>
      <c r="H93" s="103"/>
    </row>
    <row r="94" spans="1:8" ht="25.2" customHeight="1" x14ac:dyDescent="0.25">
      <c r="B94" s="93" t="s">
        <v>95</v>
      </c>
      <c r="C94" s="111" t="str">
        <f>+$G71</f>
        <v>SAMANÁ</v>
      </c>
      <c r="D94" s="87" t="s">
        <v>118</v>
      </c>
      <c r="E94" s="190"/>
      <c r="F94" s="190"/>
      <c r="G94" s="103"/>
      <c r="H94" s="103"/>
    </row>
    <row r="95" spans="1:8" ht="25.2" customHeight="1" x14ac:dyDescent="0.25">
      <c r="B95" s="93" t="s">
        <v>119</v>
      </c>
      <c r="C95" s="112"/>
      <c r="D95" s="87" t="s">
        <v>153</v>
      </c>
      <c r="E95" s="205" t="str">
        <f>+VLOOKUP($G71,$K$2:$M$15,3,FALSE)</f>
        <v>CALLE 7 # 6-17</v>
      </c>
      <c r="F95" s="205"/>
    </row>
    <row r="96" spans="1:8" ht="25.2" customHeight="1" x14ac:dyDescent="0.25">
      <c r="B96" s="93" t="s">
        <v>120</v>
      </c>
      <c r="C96" s="112"/>
    </row>
    <row r="98" spans="1:9" x14ac:dyDescent="0.25">
      <c r="A98" s="189" t="s">
        <v>121</v>
      </c>
      <c r="B98" s="189"/>
      <c r="C98" s="192"/>
      <c r="D98" s="192"/>
      <c r="E98" s="192"/>
      <c r="F98" s="189"/>
      <c r="G98" s="98"/>
      <c r="H98" s="98"/>
    </row>
    <row r="99" spans="1:9" ht="25.2" customHeight="1" x14ac:dyDescent="0.25">
      <c r="B99" s="93" t="s">
        <v>158</v>
      </c>
      <c r="C99" s="193" t="s">
        <v>171</v>
      </c>
      <c r="D99" s="194"/>
      <c r="E99" s="195"/>
    </row>
    <row r="100" spans="1:9" ht="25.2" customHeight="1" x14ac:dyDescent="0.25">
      <c r="B100" s="87" t="s">
        <v>113</v>
      </c>
      <c r="C100" s="199">
        <v>1298501</v>
      </c>
      <c r="D100" s="194"/>
      <c r="E100" s="195"/>
    </row>
    <row r="101" spans="1:9" ht="25.2" customHeight="1" x14ac:dyDescent="0.25">
      <c r="B101" s="87" t="s">
        <v>122</v>
      </c>
      <c r="C101" s="193" t="s">
        <v>159</v>
      </c>
      <c r="D101" s="194"/>
      <c r="E101" s="195"/>
    </row>
    <row r="102" spans="1:9" ht="25.2" customHeight="1" x14ac:dyDescent="0.25">
      <c r="B102" s="87" t="s">
        <v>123</v>
      </c>
      <c r="C102" s="196"/>
      <c r="D102" s="197"/>
      <c r="E102" s="198"/>
    </row>
    <row r="104" spans="1:9" ht="15.75" thickBot="1" x14ac:dyDescent="0.3">
      <c r="I104" s="95" t="s">
        <v>88</v>
      </c>
    </row>
    <row r="105" spans="1:9" ht="23.4" customHeight="1" thickBot="1" x14ac:dyDescent="0.3">
      <c r="B105" s="209" t="str">
        <f>+$B$3</f>
        <v>CÓDIGO INVIMA: 170AC</v>
      </c>
      <c r="C105" s="200" t="s">
        <v>89</v>
      </c>
      <c r="D105" s="200"/>
      <c r="E105" s="201" t="s">
        <v>90</v>
      </c>
      <c r="F105" s="201"/>
      <c r="G105" s="94" t="s">
        <v>14</v>
      </c>
      <c r="H105" s="109" t="str">
        <f>+$H$3</f>
        <v>24</v>
      </c>
      <c r="I105" s="108" t="str">
        <f>+VLOOKUP($G105,$K$2:$M$15,2,FALSE)&amp;$H$3&amp;$H$2</f>
        <v>424RES</v>
      </c>
    </row>
    <row r="106" spans="1:9" ht="25.2" customHeight="1" thickBot="1" x14ac:dyDescent="0.3">
      <c r="B106" s="210"/>
      <c r="C106" s="202"/>
      <c r="D106" s="202"/>
      <c r="E106" s="203" t="str">
        <f>+$F$7&amp;"-"&amp;$I105&amp;"-"&amp;2025</f>
        <v>170AC-424RES-2025</v>
      </c>
      <c r="F106" s="203"/>
      <c r="G106" s="138">
        <f>+VLOOKUP($G105,$K$2:$M$15,2,FALSE)</f>
        <v>4</v>
      </c>
      <c r="H106" s="97"/>
    </row>
    <row r="108" spans="1:9" x14ac:dyDescent="0.25">
      <c r="A108" s="189" t="s">
        <v>91</v>
      </c>
      <c r="B108" s="189"/>
      <c r="C108" s="189"/>
      <c r="D108" s="189"/>
      <c r="E108" s="189"/>
      <c r="F108" s="189"/>
      <c r="G108" s="98"/>
      <c r="H108" s="98"/>
    </row>
    <row r="109" spans="1:9" ht="29.95" customHeight="1" x14ac:dyDescent="0.25">
      <c r="B109" s="87" t="s">
        <v>92</v>
      </c>
      <c r="C109" s="204" t="s">
        <v>135</v>
      </c>
      <c r="D109" s="204"/>
      <c r="E109" s="87" t="s">
        <v>93</v>
      </c>
      <c r="F109" s="88" t="s">
        <v>138</v>
      </c>
    </row>
    <row r="110" spans="1:9" ht="29.95" customHeight="1" x14ac:dyDescent="0.25">
      <c r="B110" s="87" t="s">
        <v>94</v>
      </c>
      <c r="C110" s="204" t="s">
        <v>124</v>
      </c>
      <c r="D110" s="204"/>
      <c r="E110" s="87" t="s">
        <v>95</v>
      </c>
      <c r="F110" s="88" t="s">
        <v>23</v>
      </c>
    </row>
    <row r="111" spans="1:9" ht="29.95" customHeight="1" x14ac:dyDescent="0.25">
      <c r="B111" s="87" t="s">
        <v>96</v>
      </c>
      <c r="C111" s="208" t="s">
        <v>136</v>
      </c>
      <c r="D111" s="208"/>
      <c r="E111" s="87" t="s">
        <v>97</v>
      </c>
      <c r="F111" s="114" t="s">
        <v>125</v>
      </c>
    </row>
    <row r="112" spans="1:9" ht="29.95" customHeight="1" x14ac:dyDescent="0.25">
      <c r="B112" s="87" t="s">
        <v>98</v>
      </c>
      <c r="C112" s="191"/>
      <c r="D112" s="191"/>
      <c r="E112" s="87" t="s">
        <v>99</v>
      </c>
      <c r="F112" s="110"/>
    </row>
    <row r="113" spans="1:9" x14ac:dyDescent="0.25">
      <c r="I113" s="105"/>
    </row>
    <row r="115" spans="1:9" x14ac:dyDescent="0.25">
      <c r="A115" s="189" t="s">
        <v>100</v>
      </c>
      <c r="B115" s="189"/>
      <c r="C115" s="189"/>
      <c r="D115" s="189"/>
      <c r="E115" s="192"/>
      <c r="F115" s="192"/>
      <c r="G115" s="98"/>
      <c r="H115" s="98"/>
    </row>
    <row r="116" spans="1:9" ht="30.15" x14ac:dyDescent="0.25">
      <c r="A116" s="87" t="s">
        <v>101</v>
      </c>
      <c r="B116" s="89" t="s">
        <v>102</v>
      </c>
      <c r="C116" s="89" t="s">
        <v>103</v>
      </c>
      <c r="D116" s="89" t="s">
        <v>104</v>
      </c>
      <c r="E116" s="89" t="s">
        <v>105</v>
      </c>
      <c r="F116" s="89" t="s">
        <v>106</v>
      </c>
      <c r="G116" s="99"/>
      <c r="H116" s="99"/>
    </row>
    <row r="117" spans="1:9" ht="20.149999999999999" customHeight="1" x14ac:dyDescent="0.25">
      <c r="A117" s="90">
        <v>1</v>
      </c>
      <c r="B117" s="91" t="s">
        <v>107</v>
      </c>
      <c r="C117" s="88" t="str">
        <f>+$I$6</f>
        <v>RES</v>
      </c>
      <c r="D117" s="91"/>
      <c r="E117" s="88">
        <f>+VLOOKUP($G106,CÁRNICOS!$BW$85:$CA$103,4,FALSE)</f>
        <v>0</v>
      </c>
      <c r="F117" s="91"/>
      <c r="G117" s="100"/>
      <c r="H117" s="100"/>
    </row>
    <row r="118" spans="1:9" ht="20.149999999999999" customHeight="1" x14ac:dyDescent="0.25">
      <c r="A118" s="90">
        <v>2</v>
      </c>
      <c r="B118" s="91" t="s">
        <v>108</v>
      </c>
      <c r="C118" s="91"/>
      <c r="D118" s="91"/>
      <c r="E118" s="91"/>
      <c r="F118" s="91"/>
      <c r="G118" s="100"/>
      <c r="H118" s="100"/>
    </row>
    <row r="120" spans="1:9" x14ac:dyDescent="0.25">
      <c r="A120" s="189" t="s">
        <v>109</v>
      </c>
      <c r="B120" s="189"/>
      <c r="C120" s="189"/>
      <c r="D120" s="189"/>
      <c r="E120" s="192"/>
      <c r="F120" s="192"/>
      <c r="G120" s="98"/>
      <c r="H120" s="98"/>
    </row>
    <row r="121" spans="1:9" ht="25.2" customHeight="1" x14ac:dyDescent="0.25">
      <c r="B121" s="87" t="s">
        <v>110</v>
      </c>
      <c r="C121" s="92"/>
      <c r="D121" s="87" t="s">
        <v>111</v>
      </c>
      <c r="E121" s="206"/>
      <c r="F121" s="206"/>
      <c r="G121" s="101"/>
      <c r="H121" s="101"/>
    </row>
    <row r="122" spans="1:9" ht="25.2" customHeight="1" x14ac:dyDescent="0.25">
      <c r="B122" s="87" t="s">
        <v>112</v>
      </c>
      <c r="C122" s="92"/>
      <c r="D122" s="87" t="s">
        <v>113</v>
      </c>
      <c r="E122" s="206"/>
      <c r="F122" s="206"/>
      <c r="G122" s="101"/>
      <c r="H122" s="101"/>
    </row>
    <row r="123" spans="1:9" ht="25.2" customHeight="1" x14ac:dyDescent="0.25">
      <c r="D123" s="87" t="s">
        <v>97</v>
      </c>
      <c r="E123" s="207"/>
      <c r="F123" s="207"/>
      <c r="G123" s="102"/>
      <c r="H123" s="102"/>
    </row>
    <row r="124" spans="1:9" ht="25.2" customHeight="1" x14ac:dyDescent="0.25">
      <c r="B124" s="87" t="s">
        <v>114</v>
      </c>
      <c r="C124" s="191"/>
      <c r="D124" s="191"/>
      <c r="E124" s="93" t="s">
        <v>115</v>
      </c>
      <c r="F124" s="113"/>
    </row>
    <row r="126" spans="1:9" x14ac:dyDescent="0.25">
      <c r="A126" s="189" t="s">
        <v>116</v>
      </c>
      <c r="B126" s="189"/>
      <c r="C126" s="189"/>
      <c r="D126" s="189"/>
      <c r="E126" s="189"/>
      <c r="F126" s="189"/>
      <c r="G126" s="98"/>
      <c r="H126" s="98"/>
    </row>
    <row r="127" spans="1:9" ht="25.2" customHeight="1" x14ac:dyDescent="0.25">
      <c r="B127" s="93" t="s">
        <v>94</v>
      </c>
      <c r="C127" s="96" t="s">
        <v>124</v>
      </c>
      <c r="D127" s="87" t="s">
        <v>117</v>
      </c>
      <c r="E127" s="190"/>
      <c r="F127" s="190"/>
      <c r="G127" s="103"/>
      <c r="H127" s="103"/>
    </row>
    <row r="128" spans="1:9" ht="25.2" customHeight="1" x14ac:dyDescent="0.25">
      <c r="B128" s="93" t="s">
        <v>95</v>
      </c>
      <c r="C128" s="111" t="str">
        <f>+$G105</f>
        <v>PENSILVANIA</v>
      </c>
      <c r="D128" s="87" t="s">
        <v>118</v>
      </c>
      <c r="E128" s="190"/>
      <c r="F128" s="190"/>
      <c r="G128" s="103"/>
      <c r="H128" s="103"/>
    </row>
    <row r="129" spans="1:9" ht="25.2" customHeight="1" x14ac:dyDescent="0.25">
      <c r="B129" s="93" t="s">
        <v>119</v>
      </c>
      <c r="C129" s="112"/>
      <c r="D129" s="87" t="s">
        <v>153</v>
      </c>
      <c r="E129" s="205" t="str">
        <f>+VLOOKUP($G105,$K$2:$M$15,3,FALSE)</f>
        <v>CASA DE ENCUENTRO PADRE DANIEL MARIA LÓPEZ</v>
      </c>
      <c r="F129" s="205"/>
    </row>
    <row r="130" spans="1:9" ht="25.2" customHeight="1" x14ac:dyDescent="0.25">
      <c r="B130" s="93" t="s">
        <v>120</v>
      </c>
      <c r="C130" s="112"/>
    </row>
    <row r="132" spans="1:9" x14ac:dyDescent="0.25">
      <c r="A132" s="189" t="s">
        <v>121</v>
      </c>
      <c r="B132" s="189"/>
      <c r="C132" s="192"/>
      <c r="D132" s="192"/>
      <c r="E132" s="192"/>
      <c r="F132" s="189"/>
      <c r="G132" s="98"/>
      <c r="H132" s="98"/>
    </row>
    <row r="133" spans="1:9" ht="25.2" customHeight="1" x14ac:dyDescent="0.25">
      <c r="B133" s="93" t="s">
        <v>158</v>
      </c>
      <c r="C133" s="193" t="s">
        <v>171</v>
      </c>
      <c r="D133" s="194"/>
      <c r="E133" s="195"/>
    </row>
    <row r="134" spans="1:9" ht="25.2" customHeight="1" x14ac:dyDescent="0.25">
      <c r="B134" s="87" t="s">
        <v>113</v>
      </c>
      <c r="C134" s="199">
        <v>1298501</v>
      </c>
      <c r="D134" s="194"/>
      <c r="E134" s="195"/>
    </row>
    <row r="135" spans="1:9" ht="25.2" customHeight="1" x14ac:dyDescent="0.25">
      <c r="B135" s="87" t="s">
        <v>122</v>
      </c>
      <c r="C135" s="193" t="s">
        <v>159</v>
      </c>
      <c r="D135" s="194"/>
      <c r="E135" s="195"/>
    </row>
    <row r="136" spans="1:9" ht="25.2" customHeight="1" x14ac:dyDescent="0.25">
      <c r="B136" s="87" t="s">
        <v>123</v>
      </c>
      <c r="C136" s="196"/>
      <c r="D136" s="197"/>
      <c r="E136" s="198"/>
    </row>
    <row r="138" spans="1:9" ht="15.75" thickBot="1" x14ac:dyDescent="0.3">
      <c r="I138" s="95" t="s">
        <v>88</v>
      </c>
    </row>
    <row r="139" spans="1:9" ht="23.4" customHeight="1" thickBot="1" x14ac:dyDescent="0.3">
      <c r="B139" s="209" t="str">
        <f>+$B$3</f>
        <v>CÓDIGO INVIMA: 170AC</v>
      </c>
      <c r="C139" s="200" t="s">
        <v>89</v>
      </c>
      <c r="D139" s="200"/>
      <c r="E139" s="201" t="s">
        <v>90</v>
      </c>
      <c r="F139" s="201"/>
      <c r="G139" s="94" t="s">
        <v>21</v>
      </c>
      <c r="H139" s="109" t="str">
        <f>+$H$3</f>
        <v>24</v>
      </c>
      <c r="I139" s="108" t="str">
        <f>+VLOOKUP($G139,$K$2:$M$15,2,FALSE)&amp;$H$3&amp;$H$2</f>
        <v>524RES</v>
      </c>
    </row>
    <row r="140" spans="1:9" ht="25.2" customHeight="1" thickBot="1" x14ac:dyDescent="0.3">
      <c r="B140" s="210"/>
      <c r="C140" s="202"/>
      <c r="D140" s="202"/>
      <c r="E140" s="203" t="str">
        <f>+$F$7&amp;"-"&amp;$I139&amp;"-"&amp;2025</f>
        <v>170AC-524RES-2025</v>
      </c>
      <c r="F140" s="203"/>
      <c r="G140" s="138">
        <f>+VLOOKUP($G139,$K$2:$M$15,2,FALSE)</f>
        <v>5</v>
      </c>
      <c r="H140" s="97"/>
    </row>
    <row r="142" spans="1:9" x14ac:dyDescent="0.25">
      <c r="A142" s="189" t="s">
        <v>91</v>
      </c>
      <c r="B142" s="189"/>
      <c r="C142" s="189"/>
      <c r="D142" s="189"/>
      <c r="E142" s="189"/>
      <c r="F142" s="189"/>
      <c r="G142" s="98"/>
      <c r="H142" s="98"/>
    </row>
    <row r="143" spans="1:9" ht="29.95" customHeight="1" x14ac:dyDescent="0.25">
      <c r="B143" s="87" t="s">
        <v>92</v>
      </c>
      <c r="C143" s="204" t="s">
        <v>135</v>
      </c>
      <c r="D143" s="204"/>
      <c r="E143" s="87" t="s">
        <v>93</v>
      </c>
      <c r="F143" s="88" t="s">
        <v>138</v>
      </c>
    </row>
    <row r="144" spans="1:9" ht="29.95" customHeight="1" x14ac:dyDescent="0.25">
      <c r="B144" s="87" t="s">
        <v>94</v>
      </c>
      <c r="C144" s="204" t="s">
        <v>124</v>
      </c>
      <c r="D144" s="204"/>
      <c r="E144" s="87" t="s">
        <v>95</v>
      </c>
      <c r="F144" s="88" t="s">
        <v>23</v>
      </c>
    </row>
    <row r="145" spans="1:9" ht="29.95" customHeight="1" x14ac:dyDescent="0.25">
      <c r="B145" s="87" t="s">
        <v>96</v>
      </c>
      <c r="C145" s="208" t="s">
        <v>136</v>
      </c>
      <c r="D145" s="208"/>
      <c r="E145" s="87" t="s">
        <v>97</v>
      </c>
      <c r="F145" s="114" t="s">
        <v>125</v>
      </c>
    </row>
    <row r="146" spans="1:9" ht="29.95" customHeight="1" x14ac:dyDescent="0.25">
      <c r="B146" s="87" t="s">
        <v>98</v>
      </c>
      <c r="C146" s="191"/>
      <c r="D146" s="191"/>
      <c r="E146" s="87" t="s">
        <v>99</v>
      </c>
      <c r="F146" s="110"/>
    </row>
    <row r="147" spans="1:9" x14ac:dyDescent="0.25">
      <c r="I147" s="105"/>
    </row>
    <row r="149" spans="1:9" x14ac:dyDescent="0.25">
      <c r="A149" s="189" t="s">
        <v>100</v>
      </c>
      <c r="B149" s="189"/>
      <c r="C149" s="189"/>
      <c r="D149" s="189"/>
      <c r="E149" s="192"/>
      <c r="F149" s="192"/>
      <c r="G149" s="98"/>
      <c r="H149" s="98"/>
    </row>
    <row r="150" spans="1:9" ht="30.15" x14ac:dyDescent="0.25">
      <c r="A150" s="87" t="s">
        <v>101</v>
      </c>
      <c r="B150" s="89" t="s">
        <v>102</v>
      </c>
      <c r="C150" s="89" t="s">
        <v>103</v>
      </c>
      <c r="D150" s="89" t="s">
        <v>104</v>
      </c>
      <c r="E150" s="89" t="s">
        <v>105</v>
      </c>
      <c r="F150" s="89" t="s">
        <v>106</v>
      </c>
      <c r="G150" s="99"/>
      <c r="H150" s="99"/>
    </row>
    <row r="151" spans="1:9" ht="20.149999999999999" customHeight="1" x14ac:dyDescent="0.25">
      <c r="A151" s="90">
        <v>1</v>
      </c>
      <c r="B151" s="91" t="s">
        <v>107</v>
      </c>
      <c r="C151" s="88" t="str">
        <f>+$I$6</f>
        <v>RES</v>
      </c>
      <c r="D151" s="91"/>
      <c r="E151" s="88">
        <f>+VLOOKUP($G140,CÁRNICOS!$BW$85:$CA$103,4,FALSE)</f>
        <v>0</v>
      </c>
      <c r="F151" s="91"/>
      <c r="G151" s="100"/>
      <c r="H151" s="100"/>
    </row>
    <row r="152" spans="1:9" ht="20.149999999999999" customHeight="1" x14ac:dyDescent="0.25">
      <c r="A152" s="90">
        <v>2</v>
      </c>
      <c r="B152" s="91" t="s">
        <v>108</v>
      </c>
      <c r="C152" s="91"/>
      <c r="D152" s="91"/>
      <c r="E152" s="91"/>
      <c r="F152" s="91"/>
      <c r="G152" s="100"/>
      <c r="H152" s="100"/>
    </row>
    <row r="154" spans="1:9" x14ac:dyDescent="0.25">
      <c r="A154" s="189" t="s">
        <v>109</v>
      </c>
      <c r="B154" s="189"/>
      <c r="C154" s="189"/>
      <c r="D154" s="189"/>
      <c r="E154" s="192"/>
      <c r="F154" s="192"/>
      <c r="G154" s="98"/>
      <c r="H154" s="98"/>
    </row>
    <row r="155" spans="1:9" ht="25.2" customHeight="1" x14ac:dyDescent="0.25">
      <c r="B155" s="87" t="s">
        <v>110</v>
      </c>
      <c r="C155" s="92"/>
      <c r="D155" s="87" t="s">
        <v>111</v>
      </c>
      <c r="E155" s="206"/>
      <c r="F155" s="206"/>
      <c r="G155" s="101"/>
      <c r="H155" s="101"/>
    </row>
    <row r="156" spans="1:9" ht="25.2" customHeight="1" x14ac:dyDescent="0.25">
      <c r="B156" s="87" t="s">
        <v>112</v>
      </c>
      <c r="C156" s="92"/>
      <c r="D156" s="87" t="s">
        <v>113</v>
      </c>
      <c r="E156" s="206"/>
      <c r="F156" s="206"/>
      <c r="G156" s="101"/>
      <c r="H156" s="101"/>
    </row>
    <row r="157" spans="1:9" ht="25.2" customHeight="1" x14ac:dyDescent="0.25">
      <c r="D157" s="87" t="s">
        <v>97</v>
      </c>
      <c r="E157" s="207"/>
      <c r="F157" s="207"/>
      <c r="G157" s="102"/>
      <c r="H157" s="102"/>
    </row>
    <row r="158" spans="1:9" ht="25.2" customHeight="1" x14ac:dyDescent="0.25">
      <c r="B158" s="87" t="s">
        <v>114</v>
      </c>
      <c r="C158" s="191"/>
      <c r="D158" s="191"/>
      <c r="E158" s="93" t="s">
        <v>115</v>
      </c>
      <c r="F158" s="113"/>
    </row>
    <row r="160" spans="1:9" x14ac:dyDescent="0.25">
      <c r="A160" s="189" t="s">
        <v>116</v>
      </c>
      <c r="B160" s="189"/>
      <c r="C160" s="189"/>
      <c r="D160" s="189"/>
      <c r="E160" s="189"/>
      <c r="F160" s="189"/>
      <c r="G160" s="98"/>
      <c r="H160" s="98"/>
    </row>
    <row r="161" spans="1:9" ht="25.2" customHeight="1" x14ac:dyDescent="0.25">
      <c r="B161" s="93" t="s">
        <v>94</v>
      </c>
      <c r="C161" s="96" t="s">
        <v>124</v>
      </c>
      <c r="D161" s="87" t="s">
        <v>117</v>
      </c>
      <c r="E161" s="190"/>
      <c r="F161" s="190"/>
      <c r="G161" s="103"/>
      <c r="H161" s="103"/>
    </row>
    <row r="162" spans="1:9" ht="25.2" customHeight="1" x14ac:dyDescent="0.25">
      <c r="B162" s="93" t="s">
        <v>95</v>
      </c>
      <c r="C162" s="111" t="str">
        <f>+$G139</f>
        <v>MANZANARES</v>
      </c>
      <c r="D162" s="87" t="s">
        <v>118</v>
      </c>
      <c r="E162" s="190"/>
      <c r="F162" s="190"/>
      <c r="G162" s="103"/>
      <c r="H162" s="103"/>
    </row>
    <row r="163" spans="1:9" ht="25.2" customHeight="1" x14ac:dyDescent="0.25">
      <c r="B163" s="93" t="s">
        <v>119</v>
      </c>
      <c r="C163" s="112"/>
      <c r="D163" s="87" t="s">
        <v>153</v>
      </c>
      <c r="E163" s="205" t="str">
        <f>+VLOOKUP($G139,$K$2:$M$15,3,FALSE)</f>
        <v>CRA 4 # 18-00</v>
      </c>
      <c r="F163" s="205"/>
    </row>
    <row r="164" spans="1:9" ht="25.2" customHeight="1" x14ac:dyDescent="0.25">
      <c r="B164" s="93" t="s">
        <v>120</v>
      </c>
      <c r="C164" s="112"/>
    </row>
    <row r="166" spans="1:9" x14ac:dyDescent="0.25">
      <c r="A166" s="189" t="s">
        <v>121</v>
      </c>
      <c r="B166" s="189"/>
      <c r="C166" s="192"/>
      <c r="D166" s="192"/>
      <c r="E166" s="192"/>
      <c r="F166" s="189"/>
      <c r="G166" s="98"/>
      <c r="H166" s="98"/>
    </row>
    <row r="167" spans="1:9" ht="25.2" customHeight="1" x14ac:dyDescent="0.25">
      <c r="B167" s="93" t="s">
        <v>158</v>
      </c>
      <c r="C167" s="193" t="s">
        <v>171</v>
      </c>
      <c r="D167" s="194"/>
      <c r="E167" s="195"/>
    </row>
    <row r="168" spans="1:9" ht="25.2" customHeight="1" x14ac:dyDescent="0.25">
      <c r="B168" s="87" t="s">
        <v>113</v>
      </c>
      <c r="C168" s="199">
        <v>1298501</v>
      </c>
      <c r="D168" s="194"/>
      <c r="E168" s="195"/>
    </row>
    <row r="169" spans="1:9" ht="25.2" customHeight="1" x14ac:dyDescent="0.25">
      <c r="B169" s="87" t="s">
        <v>122</v>
      </c>
      <c r="C169" s="193" t="s">
        <v>159</v>
      </c>
      <c r="D169" s="194"/>
      <c r="E169" s="195"/>
    </row>
    <row r="170" spans="1:9" ht="25.2" customHeight="1" x14ac:dyDescent="0.25">
      <c r="B170" s="87" t="s">
        <v>123</v>
      </c>
      <c r="C170" s="196"/>
      <c r="D170" s="197"/>
      <c r="E170" s="198"/>
    </row>
    <row r="172" spans="1:9" ht="15.75" thickBot="1" x14ac:dyDescent="0.3">
      <c r="I172" s="95" t="s">
        <v>88</v>
      </c>
    </row>
    <row r="173" spans="1:9" ht="23.4" customHeight="1" thickBot="1" x14ac:dyDescent="0.3">
      <c r="B173" s="209" t="str">
        <f>+$B$3</f>
        <v>CÓDIGO INVIMA: 170AC</v>
      </c>
      <c r="C173" s="200" t="s">
        <v>89</v>
      </c>
      <c r="D173" s="200"/>
      <c r="E173" s="201" t="s">
        <v>90</v>
      </c>
      <c r="F173" s="201"/>
      <c r="G173" s="94" t="s">
        <v>20</v>
      </c>
      <c r="H173" s="109" t="str">
        <f>+$H$3</f>
        <v>24</v>
      </c>
      <c r="I173" s="108" t="str">
        <f>+VLOOKUP($G173,$K$2:$M$15,2,FALSE)&amp;$H$3&amp;$H$2</f>
        <v>624RES</v>
      </c>
    </row>
    <row r="174" spans="1:9" ht="25.2" customHeight="1" thickBot="1" x14ac:dyDescent="0.3">
      <c r="B174" s="210"/>
      <c r="C174" s="202"/>
      <c r="D174" s="202"/>
      <c r="E174" s="203" t="str">
        <f>+$F$7&amp;"-"&amp;$I173&amp;"-"&amp;2025</f>
        <v>170AC-624RES-2025</v>
      </c>
      <c r="F174" s="203"/>
      <c r="G174" s="138">
        <f>+VLOOKUP($G173,$K$2:$M$15,2,FALSE)</f>
        <v>6</v>
      </c>
      <c r="H174" s="97"/>
    </row>
    <row r="176" spans="1:9" x14ac:dyDescent="0.25">
      <c r="A176" s="189" t="s">
        <v>91</v>
      </c>
      <c r="B176" s="189"/>
      <c r="C176" s="189"/>
      <c r="D176" s="189"/>
      <c r="E176" s="189"/>
      <c r="F176" s="189"/>
      <c r="G176" s="98"/>
      <c r="H176" s="98"/>
    </row>
    <row r="177" spans="1:9" ht="29.95" customHeight="1" x14ac:dyDescent="0.25">
      <c r="B177" s="87" t="s">
        <v>92</v>
      </c>
      <c r="C177" s="204" t="s">
        <v>135</v>
      </c>
      <c r="D177" s="204"/>
      <c r="E177" s="87" t="s">
        <v>93</v>
      </c>
      <c r="F177" s="88" t="s">
        <v>138</v>
      </c>
    </row>
    <row r="178" spans="1:9" ht="29.95" customHeight="1" x14ac:dyDescent="0.25">
      <c r="B178" s="87" t="s">
        <v>94</v>
      </c>
      <c r="C178" s="204" t="s">
        <v>124</v>
      </c>
      <c r="D178" s="204"/>
      <c r="E178" s="87" t="s">
        <v>95</v>
      </c>
      <c r="F178" s="88" t="s">
        <v>23</v>
      </c>
    </row>
    <row r="179" spans="1:9" ht="29.95" customHeight="1" x14ac:dyDescent="0.25">
      <c r="B179" s="87" t="s">
        <v>96</v>
      </c>
      <c r="C179" s="208" t="s">
        <v>136</v>
      </c>
      <c r="D179" s="208"/>
      <c r="E179" s="87" t="s">
        <v>97</v>
      </c>
      <c r="F179" s="114" t="s">
        <v>125</v>
      </c>
    </row>
    <row r="180" spans="1:9" ht="29.95" customHeight="1" x14ac:dyDescent="0.25">
      <c r="B180" s="87" t="s">
        <v>98</v>
      </c>
      <c r="C180" s="191"/>
      <c r="D180" s="191"/>
      <c r="E180" s="87" t="s">
        <v>99</v>
      </c>
      <c r="F180" s="110"/>
    </row>
    <row r="181" spans="1:9" x14ac:dyDescent="0.25">
      <c r="I181" s="105"/>
    </row>
    <row r="183" spans="1:9" x14ac:dyDescent="0.25">
      <c r="A183" s="189" t="s">
        <v>100</v>
      </c>
      <c r="B183" s="189"/>
      <c r="C183" s="189"/>
      <c r="D183" s="189"/>
      <c r="E183" s="192"/>
      <c r="F183" s="192"/>
      <c r="G183" s="98"/>
      <c r="H183" s="98"/>
    </row>
    <row r="184" spans="1:9" ht="30.15" x14ac:dyDescent="0.25">
      <c r="A184" s="87" t="s">
        <v>101</v>
      </c>
      <c r="B184" s="89" t="s">
        <v>102</v>
      </c>
      <c r="C184" s="89" t="s">
        <v>103</v>
      </c>
      <c r="D184" s="89" t="s">
        <v>104</v>
      </c>
      <c r="E184" s="89" t="s">
        <v>105</v>
      </c>
      <c r="F184" s="89" t="s">
        <v>106</v>
      </c>
      <c r="G184" s="99"/>
      <c r="H184" s="99"/>
    </row>
    <row r="185" spans="1:9" ht="20.149999999999999" customHeight="1" x14ac:dyDescent="0.25">
      <c r="A185" s="90">
        <v>1</v>
      </c>
      <c r="B185" s="91" t="s">
        <v>107</v>
      </c>
      <c r="C185" s="88" t="str">
        <f>+$I$6</f>
        <v>RES</v>
      </c>
      <c r="D185" s="91"/>
      <c r="E185" s="88">
        <f>+VLOOKUP($G174,CÁRNICOS!$BW$85:$CA$103,4,FALSE)</f>
        <v>0</v>
      </c>
      <c r="F185" s="91"/>
      <c r="G185" s="100"/>
      <c r="H185" s="100"/>
    </row>
    <row r="186" spans="1:9" ht="20.149999999999999" customHeight="1" x14ac:dyDescent="0.25">
      <c r="A186" s="90">
        <v>2</v>
      </c>
      <c r="B186" s="91" t="s">
        <v>108</v>
      </c>
      <c r="C186" s="91"/>
      <c r="D186" s="91"/>
      <c r="E186" s="91"/>
      <c r="F186" s="91"/>
      <c r="G186" s="100"/>
      <c r="H186" s="100"/>
    </row>
    <row r="188" spans="1:9" x14ac:dyDescent="0.25">
      <c r="A188" s="189" t="s">
        <v>109</v>
      </c>
      <c r="B188" s="189"/>
      <c r="C188" s="189"/>
      <c r="D188" s="189"/>
      <c r="E188" s="192"/>
      <c r="F188" s="192"/>
      <c r="G188" s="98"/>
      <c r="H188" s="98"/>
    </row>
    <row r="189" spans="1:9" ht="25.2" customHeight="1" x14ac:dyDescent="0.25">
      <c r="B189" s="87" t="s">
        <v>110</v>
      </c>
      <c r="C189" s="92"/>
      <c r="D189" s="87" t="s">
        <v>111</v>
      </c>
      <c r="E189" s="206"/>
      <c r="F189" s="206"/>
      <c r="G189" s="101"/>
      <c r="H189" s="101"/>
    </row>
    <row r="190" spans="1:9" ht="25.2" customHeight="1" x14ac:dyDescent="0.25">
      <c r="B190" s="87" t="s">
        <v>112</v>
      </c>
      <c r="C190" s="92"/>
      <c r="D190" s="87" t="s">
        <v>113</v>
      </c>
      <c r="E190" s="206"/>
      <c r="F190" s="206"/>
      <c r="G190" s="101"/>
      <c r="H190" s="101"/>
    </row>
    <row r="191" spans="1:9" ht="25.2" customHeight="1" x14ac:dyDescent="0.25">
      <c r="D191" s="87" t="s">
        <v>97</v>
      </c>
      <c r="E191" s="207"/>
      <c r="F191" s="207"/>
      <c r="G191" s="102"/>
      <c r="H191" s="102"/>
    </row>
    <row r="192" spans="1:9" ht="25.2" customHeight="1" x14ac:dyDescent="0.25">
      <c r="B192" s="87" t="s">
        <v>114</v>
      </c>
      <c r="C192" s="191"/>
      <c r="D192" s="191"/>
      <c r="E192" s="93" t="s">
        <v>115</v>
      </c>
      <c r="F192" s="113"/>
    </row>
    <row r="194" spans="1:9" x14ac:dyDescent="0.25">
      <c r="A194" s="189" t="s">
        <v>116</v>
      </c>
      <c r="B194" s="189"/>
      <c r="C194" s="189"/>
      <c r="D194" s="189"/>
      <c r="E194" s="189"/>
      <c r="F194" s="189"/>
      <c r="G194" s="98"/>
      <c r="H194" s="98"/>
    </row>
    <row r="195" spans="1:9" ht="25.2" customHeight="1" x14ac:dyDescent="0.25">
      <c r="B195" s="93" t="s">
        <v>94</v>
      </c>
      <c r="C195" s="96" t="s">
        <v>124</v>
      </c>
      <c r="D195" s="87" t="s">
        <v>117</v>
      </c>
      <c r="E195" s="190"/>
      <c r="F195" s="190"/>
      <c r="G195" s="103"/>
      <c r="H195" s="103"/>
    </row>
    <row r="196" spans="1:9" ht="25.2" customHeight="1" x14ac:dyDescent="0.25">
      <c r="B196" s="93" t="s">
        <v>95</v>
      </c>
      <c r="C196" s="111" t="str">
        <f>+$G173</f>
        <v>MARQUETALIA</v>
      </c>
      <c r="D196" s="87" t="s">
        <v>118</v>
      </c>
      <c r="E196" s="190"/>
      <c r="F196" s="190"/>
      <c r="G196" s="103"/>
      <c r="H196" s="103"/>
    </row>
    <row r="197" spans="1:9" ht="25.2" customHeight="1" x14ac:dyDescent="0.25">
      <c r="B197" s="93" t="s">
        <v>119</v>
      </c>
      <c r="C197" s="112"/>
      <c r="D197" s="87" t="s">
        <v>153</v>
      </c>
      <c r="E197" s="205" t="str">
        <f>+VLOOKUP($G173,$K$2:$M$15,3,FALSE)</f>
        <v>CRA 2 A 32-36</v>
      </c>
      <c r="F197" s="205"/>
    </row>
    <row r="198" spans="1:9" ht="25.2" customHeight="1" x14ac:dyDescent="0.25">
      <c r="B198" s="93" t="s">
        <v>120</v>
      </c>
      <c r="C198" s="112"/>
    </row>
    <row r="200" spans="1:9" x14ac:dyDescent="0.25">
      <c r="A200" s="189" t="s">
        <v>121</v>
      </c>
      <c r="B200" s="189"/>
      <c r="C200" s="192"/>
      <c r="D200" s="192"/>
      <c r="E200" s="192"/>
      <c r="F200" s="189"/>
      <c r="G200" s="98"/>
      <c r="H200" s="98"/>
    </row>
    <row r="201" spans="1:9" ht="25.2" customHeight="1" x14ac:dyDescent="0.25">
      <c r="B201" s="93" t="s">
        <v>158</v>
      </c>
      <c r="C201" s="193" t="s">
        <v>171</v>
      </c>
      <c r="D201" s="194"/>
      <c r="E201" s="195"/>
    </row>
    <row r="202" spans="1:9" ht="25.2" customHeight="1" x14ac:dyDescent="0.25">
      <c r="B202" s="87" t="s">
        <v>113</v>
      </c>
      <c r="C202" s="199">
        <v>1298501</v>
      </c>
      <c r="D202" s="194"/>
      <c r="E202" s="195"/>
    </row>
    <row r="203" spans="1:9" ht="25.2" customHeight="1" x14ac:dyDescent="0.25">
      <c r="B203" s="87" t="s">
        <v>122</v>
      </c>
      <c r="C203" s="193" t="s">
        <v>159</v>
      </c>
      <c r="D203" s="194"/>
      <c r="E203" s="195"/>
    </row>
    <row r="204" spans="1:9" ht="25.2" customHeight="1" x14ac:dyDescent="0.25">
      <c r="B204" s="87" t="s">
        <v>123</v>
      </c>
      <c r="C204" s="196"/>
      <c r="D204" s="197"/>
      <c r="E204" s="198"/>
    </row>
    <row r="206" spans="1:9" ht="15.75" thickBot="1" x14ac:dyDescent="0.3">
      <c r="I206" s="95" t="s">
        <v>88</v>
      </c>
    </row>
    <row r="207" spans="1:9" ht="23.4" customHeight="1" thickBot="1" x14ac:dyDescent="0.3">
      <c r="B207" s="209" t="str">
        <f>+$B$3</f>
        <v>CÓDIGO INVIMA: 170AC</v>
      </c>
      <c r="C207" s="200" t="s">
        <v>89</v>
      </c>
      <c r="D207" s="200"/>
      <c r="E207" s="201" t="s">
        <v>90</v>
      </c>
      <c r="F207" s="201"/>
      <c r="G207" s="94" t="s">
        <v>67</v>
      </c>
      <c r="H207" s="109" t="str">
        <f>+$H$3</f>
        <v>24</v>
      </c>
      <c r="I207" s="108" t="str">
        <f>+VLOOKUP($G207,$K$2:$M$15,2,FALSE)&amp;$H$3&amp;$H$2</f>
        <v>724RES</v>
      </c>
    </row>
    <row r="208" spans="1:9" ht="25.2" customHeight="1" thickBot="1" x14ac:dyDescent="0.3">
      <c r="B208" s="210"/>
      <c r="C208" s="202"/>
      <c r="D208" s="202"/>
      <c r="E208" s="203" t="str">
        <f>+$F$7&amp;"-"&amp;$I207&amp;"-"&amp;2025</f>
        <v>170AC-724RES-2025</v>
      </c>
      <c r="F208" s="203"/>
      <c r="G208" s="138">
        <f>+VLOOKUP($G207,$K$2:$M$15,2,FALSE)</f>
        <v>7</v>
      </c>
      <c r="H208" s="97"/>
    </row>
    <row r="210" spans="1:9" x14ac:dyDescent="0.25">
      <c r="A210" s="189" t="s">
        <v>91</v>
      </c>
      <c r="B210" s="189"/>
      <c r="C210" s="189"/>
      <c r="D210" s="189"/>
      <c r="E210" s="189"/>
      <c r="F210" s="189"/>
      <c r="G210" s="98"/>
      <c r="H210" s="98"/>
    </row>
    <row r="211" spans="1:9" ht="29.95" customHeight="1" x14ac:dyDescent="0.25">
      <c r="B211" s="87" t="s">
        <v>92</v>
      </c>
      <c r="C211" s="204" t="s">
        <v>135</v>
      </c>
      <c r="D211" s="204"/>
      <c r="E211" s="87" t="s">
        <v>93</v>
      </c>
      <c r="F211" s="88" t="s">
        <v>138</v>
      </c>
    </row>
    <row r="212" spans="1:9" ht="29.95" customHeight="1" x14ac:dyDescent="0.25">
      <c r="B212" s="87" t="s">
        <v>94</v>
      </c>
      <c r="C212" s="204" t="s">
        <v>124</v>
      </c>
      <c r="D212" s="204"/>
      <c r="E212" s="87" t="s">
        <v>95</v>
      </c>
      <c r="F212" s="88" t="s">
        <v>23</v>
      </c>
    </row>
    <row r="213" spans="1:9" ht="29.95" customHeight="1" x14ac:dyDescent="0.25">
      <c r="B213" s="87" t="s">
        <v>96</v>
      </c>
      <c r="C213" s="208" t="s">
        <v>136</v>
      </c>
      <c r="D213" s="208"/>
      <c r="E213" s="87" t="s">
        <v>97</v>
      </c>
      <c r="F213" s="114" t="s">
        <v>125</v>
      </c>
    </row>
    <row r="214" spans="1:9" ht="29.95" customHeight="1" x14ac:dyDescent="0.25">
      <c r="B214" s="87" t="s">
        <v>98</v>
      </c>
      <c r="C214" s="191"/>
      <c r="D214" s="191"/>
      <c r="E214" s="87" t="s">
        <v>99</v>
      </c>
      <c r="F214" s="110"/>
    </row>
    <row r="215" spans="1:9" x14ac:dyDescent="0.25">
      <c r="I215" s="105"/>
    </row>
    <row r="217" spans="1:9" x14ac:dyDescent="0.25">
      <c r="A217" s="189" t="s">
        <v>100</v>
      </c>
      <c r="B217" s="189"/>
      <c r="C217" s="189"/>
      <c r="D217" s="189"/>
      <c r="E217" s="192"/>
      <c r="F217" s="192"/>
      <c r="G217" s="98"/>
      <c r="H217" s="98"/>
    </row>
    <row r="218" spans="1:9" ht="30.15" x14ac:dyDescent="0.25">
      <c r="A218" s="87" t="s">
        <v>101</v>
      </c>
      <c r="B218" s="89" t="s">
        <v>102</v>
      </c>
      <c r="C218" s="89" t="s">
        <v>103</v>
      </c>
      <c r="D218" s="89" t="s">
        <v>104</v>
      </c>
      <c r="E218" s="89" t="s">
        <v>105</v>
      </c>
      <c r="F218" s="89" t="s">
        <v>106</v>
      </c>
      <c r="G218" s="99"/>
      <c r="H218" s="99"/>
    </row>
    <row r="219" spans="1:9" ht="20.149999999999999" customHeight="1" x14ac:dyDescent="0.25">
      <c r="A219" s="90">
        <v>1</v>
      </c>
      <c r="B219" s="91" t="s">
        <v>107</v>
      </c>
      <c r="C219" s="88" t="str">
        <f>+$I$6</f>
        <v>RES</v>
      </c>
      <c r="D219" s="91"/>
      <c r="E219" s="88">
        <f>+VLOOKUP($G208,CÁRNICOS!$BW$85:$CA$103,4,FALSE)</f>
        <v>0</v>
      </c>
      <c r="F219" s="91"/>
      <c r="G219" s="100"/>
      <c r="H219" s="100"/>
    </row>
    <row r="220" spans="1:9" ht="20.149999999999999" customHeight="1" x14ac:dyDescent="0.25">
      <c r="A220" s="90">
        <v>2</v>
      </c>
      <c r="B220" s="91" t="s">
        <v>108</v>
      </c>
      <c r="C220" s="91"/>
      <c r="D220" s="91"/>
      <c r="E220" s="91"/>
      <c r="F220" s="91"/>
      <c r="G220" s="100"/>
      <c r="H220" s="100"/>
    </row>
    <row r="222" spans="1:9" x14ac:dyDescent="0.25">
      <c r="A222" s="189" t="s">
        <v>109</v>
      </c>
      <c r="B222" s="189"/>
      <c r="C222" s="189"/>
      <c r="D222" s="189"/>
      <c r="E222" s="192"/>
      <c r="F222" s="192"/>
      <c r="G222" s="98"/>
      <c r="H222" s="98"/>
    </row>
    <row r="223" spans="1:9" ht="25.2" customHeight="1" x14ac:dyDescent="0.25">
      <c r="B223" s="87" t="s">
        <v>110</v>
      </c>
      <c r="C223" s="92"/>
      <c r="D223" s="87" t="s">
        <v>111</v>
      </c>
      <c r="E223" s="206"/>
      <c r="F223" s="206"/>
      <c r="G223" s="101"/>
      <c r="H223" s="101"/>
    </row>
    <row r="224" spans="1:9" ht="25.2" customHeight="1" x14ac:dyDescent="0.25">
      <c r="B224" s="87" t="s">
        <v>112</v>
      </c>
      <c r="C224" s="92"/>
      <c r="D224" s="87" t="s">
        <v>113</v>
      </c>
      <c r="E224" s="206"/>
      <c r="F224" s="206"/>
      <c r="G224" s="101"/>
      <c r="H224" s="101"/>
    </row>
    <row r="225" spans="1:9" ht="25.2" customHeight="1" x14ac:dyDescent="0.25">
      <c r="D225" s="87" t="s">
        <v>97</v>
      </c>
      <c r="E225" s="207"/>
      <c r="F225" s="207"/>
      <c r="G225" s="102"/>
      <c r="H225" s="102"/>
    </row>
    <row r="226" spans="1:9" ht="25.2" customHeight="1" x14ac:dyDescent="0.25">
      <c r="B226" s="87" t="s">
        <v>114</v>
      </c>
      <c r="C226" s="191"/>
      <c r="D226" s="191"/>
      <c r="E226" s="93" t="s">
        <v>115</v>
      </c>
      <c r="F226" s="113"/>
    </row>
    <row r="228" spans="1:9" x14ac:dyDescent="0.25">
      <c r="A228" s="189" t="s">
        <v>116</v>
      </c>
      <c r="B228" s="189"/>
      <c r="C228" s="189"/>
      <c r="D228" s="189"/>
      <c r="E228" s="189"/>
      <c r="F228" s="189"/>
      <c r="G228" s="98"/>
      <c r="H228" s="98"/>
    </row>
    <row r="229" spans="1:9" ht="25.2" customHeight="1" x14ac:dyDescent="0.25">
      <c r="B229" s="93" t="s">
        <v>94</v>
      </c>
      <c r="C229" s="96" t="s">
        <v>124</v>
      </c>
      <c r="D229" s="87" t="s">
        <v>117</v>
      </c>
      <c r="E229" s="190"/>
      <c r="F229" s="190"/>
      <c r="G229" s="103"/>
      <c r="H229" s="103"/>
    </row>
    <row r="230" spans="1:9" ht="25.2" customHeight="1" x14ac:dyDescent="0.25">
      <c r="B230" s="93" t="s">
        <v>95</v>
      </c>
      <c r="C230" s="111" t="str">
        <f>+$G207</f>
        <v>RIOSUCIO</v>
      </c>
      <c r="D230" s="87" t="s">
        <v>118</v>
      </c>
      <c r="E230" s="190"/>
      <c r="F230" s="190"/>
      <c r="G230" s="103"/>
      <c r="H230" s="103"/>
    </row>
    <row r="231" spans="1:9" ht="25.2" customHeight="1" x14ac:dyDescent="0.25">
      <c r="B231" s="93" t="s">
        <v>119</v>
      </c>
      <c r="C231" s="112"/>
      <c r="D231" s="87" t="s">
        <v>153</v>
      </c>
      <c r="E231" s="205" t="str">
        <f>+VLOOKUP($G207,$K$2:$M$15,3,FALSE)</f>
        <v>CALLE 10 # 11-41</v>
      </c>
      <c r="F231" s="205"/>
    </row>
    <row r="232" spans="1:9" ht="25.2" customHeight="1" x14ac:dyDescent="0.25">
      <c r="B232" s="93" t="s">
        <v>120</v>
      </c>
      <c r="C232" s="112"/>
    </row>
    <row r="234" spans="1:9" x14ac:dyDescent="0.25">
      <c r="A234" s="189" t="s">
        <v>121</v>
      </c>
      <c r="B234" s="189"/>
      <c r="C234" s="192"/>
      <c r="D234" s="192"/>
      <c r="E234" s="192"/>
      <c r="F234" s="189"/>
      <c r="G234" s="98"/>
      <c r="H234" s="98"/>
    </row>
    <row r="235" spans="1:9" ht="25.2" customHeight="1" x14ac:dyDescent="0.25">
      <c r="B235" s="93" t="s">
        <v>158</v>
      </c>
      <c r="C235" s="193" t="s">
        <v>171</v>
      </c>
      <c r="D235" s="194"/>
      <c r="E235" s="195"/>
    </row>
    <row r="236" spans="1:9" ht="25.2" customHeight="1" x14ac:dyDescent="0.25">
      <c r="B236" s="87" t="s">
        <v>113</v>
      </c>
      <c r="C236" s="199">
        <v>1298501</v>
      </c>
      <c r="D236" s="194"/>
      <c r="E236" s="195"/>
    </row>
    <row r="237" spans="1:9" ht="25.2" customHeight="1" x14ac:dyDescent="0.25">
      <c r="B237" s="87" t="s">
        <v>122</v>
      </c>
      <c r="C237" s="193" t="s">
        <v>159</v>
      </c>
      <c r="D237" s="194"/>
      <c r="E237" s="195"/>
    </row>
    <row r="238" spans="1:9" ht="25.2" customHeight="1" x14ac:dyDescent="0.25">
      <c r="B238" s="87" t="s">
        <v>123</v>
      </c>
      <c r="C238" s="196"/>
      <c r="D238" s="197"/>
      <c r="E238" s="198"/>
    </row>
    <row r="240" spans="1:9" ht="15.75" thickBot="1" x14ac:dyDescent="0.3">
      <c r="I240" s="95" t="s">
        <v>88</v>
      </c>
    </row>
    <row r="241" spans="1:9" ht="23.4" customHeight="1" thickBot="1" x14ac:dyDescent="0.3">
      <c r="B241" s="209" t="str">
        <f>+$B$3</f>
        <v>CÓDIGO INVIMA: 170AC</v>
      </c>
      <c r="C241" s="200" t="s">
        <v>89</v>
      </c>
      <c r="D241" s="200"/>
      <c r="E241" s="201" t="s">
        <v>90</v>
      </c>
      <c r="F241" s="201"/>
      <c r="G241" s="94" t="s">
        <v>32</v>
      </c>
      <c r="H241" s="109" t="str">
        <f>+$H$3</f>
        <v>24</v>
      </c>
      <c r="I241" s="108" t="str">
        <f>+VLOOKUP($G241,$K$2:$M$15,2,FALSE)&amp;$H$3&amp;$H$2</f>
        <v>824RES</v>
      </c>
    </row>
    <row r="242" spans="1:9" ht="25.2" customHeight="1" thickBot="1" x14ac:dyDescent="0.3">
      <c r="B242" s="210"/>
      <c r="C242" s="202"/>
      <c r="D242" s="202"/>
      <c r="E242" s="203" t="str">
        <f>+$F$7&amp;"-"&amp;$I241&amp;"-"&amp;2025</f>
        <v>170AC-824RES-2025</v>
      </c>
      <c r="F242" s="203"/>
      <c r="G242" s="138">
        <f>+VLOOKUP($G241,$K$2:$M$15,2,FALSE)</f>
        <v>8</v>
      </c>
      <c r="H242" s="97"/>
    </row>
    <row r="244" spans="1:9" x14ac:dyDescent="0.25">
      <c r="A244" s="189" t="s">
        <v>91</v>
      </c>
      <c r="B244" s="189"/>
      <c r="C244" s="189"/>
      <c r="D244" s="189"/>
      <c r="E244" s="189"/>
      <c r="F244" s="189"/>
      <c r="G244" s="98"/>
      <c r="H244" s="98"/>
    </row>
    <row r="245" spans="1:9" ht="29.95" customHeight="1" x14ac:dyDescent="0.25">
      <c r="B245" s="87" t="s">
        <v>92</v>
      </c>
      <c r="C245" s="204" t="s">
        <v>135</v>
      </c>
      <c r="D245" s="204"/>
      <c r="E245" s="87" t="s">
        <v>93</v>
      </c>
      <c r="F245" s="88" t="s">
        <v>138</v>
      </c>
    </row>
    <row r="246" spans="1:9" ht="29.95" customHeight="1" x14ac:dyDescent="0.25">
      <c r="B246" s="87" t="s">
        <v>94</v>
      </c>
      <c r="C246" s="204" t="s">
        <v>124</v>
      </c>
      <c r="D246" s="204"/>
      <c r="E246" s="87" t="s">
        <v>95</v>
      </c>
      <c r="F246" s="88" t="s">
        <v>23</v>
      </c>
    </row>
    <row r="247" spans="1:9" ht="29.95" customHeight="1" x14ac:dyDescent="0.25">
      <c r="B247" s="87" t="s">
        <v>96</v>
      </c>
      <c r="C247" s="208" t="s">
        <v>136</v>
      </c>
      <c r="D247" s="208"/>
      <c r="E247" s="87" t="s">
        <v>97</v>
      </c>
      <c r="F247" s="114" t="s">
        <v>125</v>
      </c>
    </row>
    <row r="248" spans="1:9" ht="29.95" customHeight="1" x14ac:dyDescent="0.25">
      <c r="B248" s="87" t="s">
        <v>98</v>
      </c>
      <c r="C248" s="191"/>
      <c r="D248" s="191"/>
      <c r="E248" s="87" t="s">
        <v>99</v>
      </c>
      <c r="F248" s="110"/>
    </row>
    <row r="249" spans="1:9" x14ac:dyDescent="0.25">
      <c r="I249" s="105"/>
    </row>
    <row r="251" spans="1:9" x14ac:dyDescent="0.25">
      <c r="A251" s="189" t="s">
        <v>100</v>
      </c>
      <c r="B251" s="189"/>
      <c r="C251" s="189"/>
      <c r="D251" s="189"/>
      <c r="E251" s="192"/>
      <c r="F251" s="192"/>
      <c r="G251" s="98"/>
      <c r="H251" s="98"/>
    </row>
    <row r="252" spans="1:9" ht="30.15" x14ac:dyDescent="0.25">
      <c r="A252" s="87" t="s">
        <v>101</v>
      </c>
      <c r="B252" s="89" t="s">
        <v>102</v>
      </c>
      <c r="C252" s="89" t="s">
        <v>103</v>
      </c>
      <c r="D252" s="89" t="s">
        <v>104</v>
      </c>
      <c r="E252" s="89" t="s">
        <v>105</v>
      </c>
      <c r="F252" s="89" t="s">
        <v>106</v>
      </c>
      <c r="G252" s="99"/>
      <c r="H252" s="99"/>
    </row>
    <row r="253" spans="1:9" ht="20.149999999999999" customHeight="1" x14ac:dyDescent="0.25">
      <c r="A253" s="90">
        <v>1</v>
      </c>
      <c r="B253" s="91" t="s">
        <v>107</v>
      </c>
      <c r="C253" s="88" t="str">
        <f>+$I$6</f>
        <v>RES</v>
      </c>
      <c r="D253" s="91"/>
      <c r="E253" s="88">
        <f>+VLOOKUP($G242,CÁRNICOS!$BW$85:$CA$103,4,FALSE)</f>
        <v>0</v>
      </c>
      <c r="F253" s="91"/>
      <c r="G253" s="100"/>
      <c r="H253" s="100"/>
    </row>
    <row r="254" spans="1:9" ht="20.149999999999999" customHeight="1" x14ac:dyDescent="0.25">
      <c r="A254" s="90">
        <v>2</v>
      </c>
      <c r="B254" s="91" t="s">
        <v>108</v>
      </c>
      <c r="C254" s="91"/>
      <c r="D254" s="91"/>
      <c r="E254" s="91"/>
      <c r="F254" s="91"/>
      <c r="G254" s="100"/>
      <c r="H254" s="100"/>
    </row>
    <row r="256" spans="1:9" x14ac:dyDescent="0.25">
      <c r="A256" s="189" t="s">
        <v>109</v>
      </c>
      <c r="B256" s="189"/>
      <c r="C256" s="189"/>
      <c r="D256" s="189"/>
      <c r="E256" s="192"/>
      <c r="F256" s="192"/>
      <c r="G256" s="98"/>
      <c r="H256" s="98"/>
    </row>
    <row r="257" spans="1:8" ht="25.2" customHeight="1" x14ac:dyDescent="0.25">
      <c r="B257" s="87" t="s">
        <v>110</v>
      </c>
      <c r="C257" s="92"/>
      <c r="D257" s="87" t="s">
        <v>111</v>
      </c>
      <c r="E257" s="206"/>
      <c r="F257" s="206"/>
      <c r="G257" s="101"/>
      <c r="H257" s="101"/>
    </row>
    <row r="258" spans="1:8" ht="25.2" customHeight="1" x14ac:dyDescent="0.25">
      <c r="B258" s="87" t="s">
        <v>112</v>
      </c>
      <c r="C258" s="92"/>
      <c r="D258" s="87" t="s">
        <v>113</v>
      </c>
      <c r="E258" s="206"/>
      <c r="F258" s="206"/>
      <c r="G258" s="101"/>
      <c r="H258" s="101"/>
    </row>
    <row r="259" spans="1:8" ht="25.2" customHeight="1" x14ac:dyDescent="0.25">
      <c r="D259" s="87" t="s">
        <v>97</v>
      </c>
      <c r="E259" s="207"/>
      <c r="F259" s="207"/>
      <c r="G259" s="102"/>
      <c r="H259" s="102"/>
    </row>
    <row r="260" spans="1:8" ht="25.2" customHeight="1" x14ac:dyDescent="0.25">
      <c r="B260" s="87" t="s">
        <v>114</v>
      </c>
      <c r="C260" s="191"/>
      <c r="D260" s="191"/>
      <c r="E260" s="93" t="s">
        <v>115</v>
      </c>
      <c r="F260" s="113"/>
    </row>
    <row r="262" spans="1:8" x14ac:dyDescent="0.25">
      <c r="A262" s="189" t="s">
        <v>116</v>
      </c>
      <c r="B262" s="189"/>
      <c r="C262" s="189"/>
      <c r="D262" s="189"/>
      <c r="E262" s="189"/>
      <c r="F262" s="189"/>
      <c r="G262" s="98"/>
      <c r="H262" s="98"/>
    </row>
    <row r="263" spans="1:8" ht="25.2" customHeight="1" x14ac:dyDescent="0.25">
      <c r="B263" s="93" t="s">
        <v>94</v>
      </c>
      <c r="C263" s="96" t="s">
        <v>124</v>
      </c>
      <c r="D263" s="87" t="s">
        <v>117</v>
      </c>
      <c r="E263" s="190"/>
      <c r="F263" s="190"/>
      <c r="G263" s="103"/>
      <c r="H263" s="103"/>
    </row>
    <row r="264" spans="1:8" ht="25.2" customHeight="1" x14ac:dyDescent="0.25">
      <c r="B264" s="93" t="s">
        <v>95</v>
      </c>
      <c r="C264" s="111" t="str">
        <f>+$G241</f>
        <v>ANSERMA</v>
      </c>
      <c r="D264" s="87" t="s">
        <v>118</v>
      </c>
      <c r="E264" s="190"/>
      <c r="F264" s="190"/>
      <c r="G264" s="103"/>
      <c r="H264" s="103"/>
    </row>
    <row r="265" spans="1:8" ht="25.2" customHeight="1" x14ac:dyDescent="0.25">
      <c r="B265" s="93" t="s">
        <v>119</v>
      </c>
      <c r="C265" s="112"/>
      <c r="D265" s="87" t="s">
        <v>153</v>
      </c>
      <c r="E265" s="205" t="str">
        <f>+VLOOKUP($G241,$K$2:$M$15,3,FALSE)</f>
        <v>CRA 4 # 24 - 103</v>
      </c>
      <c r="F265" s="205"/>
    </row>
    <row r="266" spans="1:8" ht="25.2" customHeight="1" x14ac:dyDescent="0.25">
      <c r="B266" s="93" t="s">
        <v>120</v>
      </c>
      <c r="C266" s="112"/>
    </row>
    <row r="268" spans="1:8" x14ac:dyDescent="0.25">
      <c r="A268" s="189" t="s">
        <v>121</v>
      </c>
      <c r="B268" s="189"/>
      <c r="C268" s="192"/>
      <c r="D268" s="192"/>
      <c r="E268" s="192"/>
      <c r="F268" s="189"/>
      <c r="G268" s="98"/>
      <c r="H268" s="98"/>
    </row>
    <row r="269" spans="1:8" ht="25.2" customHeight="1" x14ac:dyDescent="0.25">
      <c r="B269" s="93" t="s">
        <v>158</v>
      </c>
      <c r="C269" s="193" t="s">
        <v>171</v>
      </c>
      <c r="D269" s="194"/>
      <c r="E269" s="195"/>
    </row>
    <row r="270" spans="1:8" ht="25.2" customHeight="1" x14ac:dyDescent="0.25">
      <c r="B270" s="87" t="s">
        <v>113</v>
      </c>
      <c r="C270" s="199">
        <v>1298501</v>
      </c>
      <c r="D270" s="194"/>
      <c r="E270" s="195"/>
    </row>
    <row r="271" spans="1:8" ht="25.2" customHeight="1" x14ac:dyDescent="0.25">
      <c r="B271" s="87" t="s">
        <v>122</v>
      </c>
      <c r="C271" s="193" t="s">
        <v>159</v>
      </c>
      <c r="D271" s="194"/>
      <c r="E271" s="195"/>
    </row>
    <row r="272" spans="1:8" ht="25.2" customHeight="1" x14ac:dyDescent="0.25">
      <c r="B272" s="87" t="s">
        <v>123</v>
      </c>
      <c r="C272" s="196"/>
      <c r="D272" s="197"/>
      <c r="E272" s="198"/>
    </row>
    <row r="274" spans="1:9" ht="15.75" thickBot="1" x14ac:dyDescent="0.3">
      <c r="I274" s="95" t="s">
        <v>88</v>
      </c>
    </row>
    <row r="275" spans="1:9" ht="23.4" customHeight="1" thickBot="1" x14ac:dyDescent="0.3">
      <c r="B275" s="209" t="str">
        <f>+$B$3</f>
        <v>CÓDIGO INVIMA: 170AC</v>
      </c>
      <c r="C275" s="200" t="s">
        <v>89</v>
      </c>
      <c r="D275" s="200"/>
      <c r="E275" s="201" t="s">
        <v>90</v>
      </c>
      <c r="F275" s="201"/>
      <c r="G275" s="94" t="s">
        <v>33</v>
      </c>
      <c r="H275" s="109" t="str">
        <f>+$H$3</f>
        <v>24</v>
      </c>
      <c r="I275" s="108" t="str">
        <f>+VLOOKUP($G275,$K$2:$M$15,2,FALSE)&amp;$H$3&amp;$H$2</f>
        <v>924RES</v>
      </c>
    </row>
    <row r="276" spans="1:9" ht="25.2" customHeight="1" thickBot="1" x14ac:dyDescent="0.3">
      <c r="B276" s="210"/>
      <c r="C276" s="202"/>
      <c r="D276" s="202"/>
      <c r="E276" s="203" t="str">
        <f>+$F$7&amp;"-"&amp;$I275&amp;"-"&amp;2025</f>
        <v>170AC-924RES-2025</v>
      </c>
      <c r="F276" s="203"/>
      <c r="G276" s="138">
        <f>+VLOOKUP($G275,$K$2:$M$15,2,FALSE)</f>
        <v>9</v>
      </c>
      <c r="H276" s="97"/>
    </row>
    <row r="278" spans="1:9" x14ac:dyDescent="0.25">
      <c r="A278" s="189" t="s">
        <v>91</v>
      </c>
      <c r="B278" s="189"/>
      <c r="C278" s="189"/>
      <c r="D278" s="189"/>
      <c r="E278" s="189"/>
      <c r="F278" s="189"/>
      <c r="G278" s="98"/>
      <c r="H278" s="98"/>
    </row>
    <row r="279" spans="1:9" ht="29.95" customHeight="1" x14ac:dyDescent="0.25">
      <c r="B279" s="87" t="s">
        <v>92</v>
      </c>
      <c r="C279" s="204" t="s">
        <v>135</v>
      </c>
      <c r="D279" s="204"/>
      <c r="E279" s="87" t="s">
        <v>93</v>
      </c>
      <c r="F279" s="88" t="s">
        <v>138</v>
      </c>
    </row>
    <row r="280" spans="1:9" ht="29.95" customHeight="1" x14ac:dyDescent="0.25">
      <c r="B280" s="87" t="s">
        <v>94</v>
      </c>
      <c r="C280" s="204" t="s">
        <v>124</v>
      </c>
      <c r="D280" s="204"/>
      <c r="E280" s="87" t="s">
        <v>95</v>
      </c>
      <c r="F280" s="88" t="s">
        <v>23</v>
      </c>
    </row>
    <row r="281" spans="1:9" ht="29.95" customHeight="1" x14ac:dyDescent="0.25">
      <c r="B281" s="87" t="s">
        <v>96</v>
      </c>
      <c r="C281" s="208" t="s">
        <v>136</v>
      </c>
      <c r="D281" s="208"/>
      <c r="E281" s="87" t="s">
        <v>97</v>
      </c>
      <c r="F281" s="114" t="s">
        <v>125</v>
      </c>
    </row>
    <row r="282" spans="1:9" ht="29.95" customHeight="1" x14ac:dyDescent="0.25">
      <c r="B282" s="87" t="s">
        <v>98</v>
      </c>
      <c r="C282" s="191"/>
      <c r="D282" s="191"/>
      <c r="E282" s="87" t="s">
        <v>99</v>
      </c>
      <c r="F282" s="110"/>
    </row>
    <row r="283" spans="1:9" x14ac:dyDescent="0.25">
      <c r="I283" s="105"/>
    </row>
    <row r="285" spans="1:9" x14ac:dyDescent="0.25">
      <c r="A285" s="189" t="s">
        <v>100</v>
      </c>
      <c r="B285" s="189"/>
      <c r="C285" s="189"/>
      <c r="D285" s="189"/>
      <c r="E285" s="192"/>
      <c r="F285" s="192"/>
      <c r="G285" s="98"/>
      <c r="H285" s="98"/>
    </row>
    <row r="286" spans="1:9" ht="30.15" x14ac:dyDescent="0.25">
      <c r="A286" s="87" t="s">
        <v>101</v>
      </c>
      <c r="B286" s="89" t="s">
        <v>102</v>
      </c>
      <c r="C286" s="89" t="s">
        <v>103</v>
      </c>
      <c r="D286" s="89" t="s">
        <v>104</v>
      </c>
      <c r="E286" s="89" t="s">
        <v>105</v>
      </c>
      <c r="F286" s="89" t="s">
        <v>106</v>
      </c>
      <c r="G286" s="99"/>
      <c r="H286" s="99"/>
    </row>
    <row r="287" spans="1:9" ht="20.149999999999999" customHeight="1" x14ac:dyDescent="0.25">
      <c r="A287" s="90">
        <v>1</v>
      </c>
      <c r="B287" s="91" t="s">
        <v>107</v>
      </c>
      <c r="C287" s="88" t="str">
        <f>+$I$6</f>
        <v>RES</v>
      </c>
      <c r="D287" s="91"/>
      <c r="E287" s="88">
        <f>+VLOOKUP($G276,CÁRNICOS!$BW$85:$CA$103,4,FALSE)</f>
        <v>0</v>
      </c>
      <c r="F287" s="91"/>
      <c r="G287" s="100"/>
      <c r="H287" s="100"/>
    </row>
    <row r="288" spans="1:9" ht="20.149999999999999" customHeight="1" x14ac:dyDescent="0.25">
      <c r="A288" s="90">
        <v>2</v>
      </c>
      <c r="B288" s="91" t="s">
        <v>108</v>
      </c>
      <c r="C288" s="91"/>
      <c r="D288" s="91"/>
      <c r="E288" s="91"/>
      <c r="F288" s="91"/>
      <c r="G288" s="100"/>
      <c r="H288" s="100"/>
    </row>
    <row r="290" spans="1:8" x14ac:dyDescent="0.25">
      <c r="A290" s="189" t="s">
        <v>109</v>
      </c>
      <c r="B290" s="189"/>
      <c r="C290" s="189"/>
      <c r="D290" s="189"/>
      <c r="E290" s="192"/>
      <c r="F290" s="192"/>
      <c r="G290" s="98"/>
      <c r="H290" s="98"/>
    </row>
    <row r="291" spans="1:8" ht="25.2" customHeight="1" x14ac:dyDescent="0.25">
      <c r="B291" s="87" t="s">
        <v>110</v>
      </c>
      <c r="C291" s="92"/>
      <c r="D291" s="87" t="s">
        <v>111</v>
      </c>
      <c r="E291" s="206"/>
      <c r="F291" s="206"/>
      <c r="G291" s="101"/>
      <c r="H291" s="101"/>
    </row>
    <row r="292" spans="1:8" ht="25.2" customHeight="1" x14ac:dyDescent="0.25">
      <c r="B292" s="87" t="s">
        <v>112</v>
      </c>
      <c r="C292" s="92"/>
      <c r="D292" s="87" t="s">
        <v>113</v>
      </c>
      <c r="E292" s="206"/>
      <c r="F292" s="206"/>
      <c r="G292" s="101"/>
      <c r="H292" s="101"/>
    </row>
    <row r="293" spans="1:8" ht="25.2" customHeight="1" x14ac:dyDescent="0.25">
      <c r="D293" s="87" t="s">
        <v>97</v>
      </c>
      <c r="E293" s="207"/>
      <c r="F293" s="207"/>
      <c r="G293" s="102"/>
      <c r="H293" s="102"/>
    </row>
    <row r="294" spans="1:8" ht="25.2" customHeight="1" x14ac:dyDescent="0.25">
      <c r="B294" s="87" t="s">
        <v>114</v>
      </c>
      <c r="C294" s="191"/>
      <c r="D294" s="191"/>
      <c r="E294" s="93" t="s">
        <v>115</v>
      </c>
      <c r="F294" s="113"/>
    </row>
    <row r="296" spans="1:8" x14ac:dyDescent="0.25">
      <c r="A296" s="189" t="s">
        <v>116</v>
      </c>
      <c r="B296" s="189"/>
      <c r="C296" s="189"/>
      <c r="D296" s="189"/>
      <c r="E296" s="189"/>
      <c r="F296" s="189"/>
      <c r="G296" s="98"/>
      <c r="H296" s="98"/>
    </row>
    <row r="297" spans="1:8" ht="25.2" customHeight="1" x14ac:dyDescent="0.25">
      <c r="B297" s="93" t="s">
        <v>94</v>
      </c>
      <c r="C297" s="96" t="s">
        <v>124</v>
      </c>
      <c r="D297" s="87" t="s">
        <v>117</v>
      </c>
      <c r="E297" s="190"/>
      <c r="F297" s="190"/>
      <c r="G297" s="103"/>
      <c r="H297" s="103"/>
    </row>
    <row r="298" spans="1:8" ht="25.2" customHeight="1" x14ac:dyDescent="0.25">
      <c r="B298" s="93" t="s">
        <v>95</v>
      </c>
      <c r="C298" s="111" t="str">
        <f>+$G275</f>
        <v>BELALCÁZAR</v>
      </c>
      <c r="D298" s="87" t="s">
        <v>118</v>
      </c>
      <c r="E298" s="190"/>
      <c r="F298" s="190"/>
      <c r="G298" s="103"/>
      <c r="H298" s="103"/>
    </row>
    <row r="299" spans="1:8" ht="25.2" customHeight="1" x14ac:dyDescent="0.25">
      <c r="B299" s="93" t="s">
        <v>119</v>
      </c>
      <c r="C299" s="112"/>
      <c r="D299" s="87" t="s">
        <v>153</v>
      </c>
      <c r="E299" s="205" t="str">
        <f>+VLOOKUP($G275,$K$2:$M$15,3,FALSE)</f>
        <v>LA HABANA, MANZANA 1 CASA 8</v>
      </c>
      <c r="F299" s="205"/>
    </row>
    <row r="300" spans="1:8" ht="25.2" customHeight="1" x14ac:dyDescent="0.25">
      <c r="B300" s="93" t="s">
        <v>120</v>
      </c>
      <c r="C300" s="112"/>
    </row>
    <row r="302" spans="1:8" x14ac:dyDescent="0.25">
      <c r="A302" s="189" t="s">
        <v>121</v>
      </c>
      <c r="B302" s="189"/>
      <c r="C302" s="192"/>
      <c r="D302" s="192"/>
      <c r="E302" s="192"/>
      <c r="F302" s="189"/>
      <c r="G302" s="98"/>
      <c r="H302" s="98"/>
    </row>
    <row r="303" spans="1:8" ht="25.2" customHeight="1" x14ac:dyDescent="0.25">
      <c r="B303" s="93" t="s">
        <v>158</v>
      </c>
      <c r="C303" s="193" t="s">
        <v>171</v>
      </c>
      <c r="D303" s="194"/>
      <c r="E303" s="195"/>
    </row>
    <row r="304" spans="1:8" ht="25.2" customHeight="1" x14ac:dyDescent="0.25">
      <c r="B304" s="87" t="s">
        <v>113</v>
      </c>
      <c r="C304" s="199">
        <v>1298501</v>
      </c>
      <c r="D304" s="194"/>
      <c r="E304" s="195"/>
    </row>
    <row r="305" spans="1:9" ht="25.2" customHeight="1" x14ac:dyDescent="0.25">
      <c r="B305" s="87" t="s">
        <v>122</v>
      </c>
      <c r="C305" s="193" t="s">
        <v>159</v>
      </c>
      <c r="D305" s="194"/>
      <c r="E305" s="195"/>
    </row>
    <row r="306" spans="1:9" ht="25.2" customHeight="1" x14ac:dyDescent="0.25">
      <c r="B306" s="87" t="s">
        <v>123</v>
      </c>
      <c r="C306" s="196"/>
      <c r="D306" s="197"/>
      <c r="E306" s="198"/>
    </row>
    <row r="308" spans="1:9" ht="15.75" thickBot="1" x14ac:dyDescent="0.3">
      <c r="I308" s="95" t="s">
        <v>88</v>
      </c>
    </row>
    <row r="309" spans="1:9" ht="23.4" customHeight="1" thickBot="1" x14ac:dyDescent="0.3">
      <c r="B309" s="209" t="str">
        <f>+$B$3</f>
        <v>CÓDIGO INVIMA: 170AC</v>
      </c>
      <c r="C309" s="200" t="s">
        <v>89</v>
      </c>
      <c r="D309" s="200"/>
      <c r="E309" s="201" t="s">
        <v>90</v>
      </c>
      <c r="F309" s="201"/>
      <c r="G309" s="94" t="s">
        <v>38</v>
      </c>
      <c r="H309" s="109" t="str">
        <f>+$H$3</f>
        <v>24</v>
      </c>
      <c r="I309" s="108" t="str">
        <f>+VLOOKUP($G309,$K$2:$M$15,2,FALSE)&amp;$H$3&amp;$H$2</f>
        <v>1024RES</v>
      </c>
    </row>
    <row r="310" spans="1:9" ht="25.2" customHeight="1" thickBot="1" x14ac:dyDescent="0.3">
      <c r="B310" s="210"/>
      <c r="C310" s="202"/>
      <c r="D310" s="202"/>
      <c r="E310" s="203" t="str">
        <f>+$F$7&amp;"-"&amp;$I309&amp;"-"&amp;2025</f>
        <v>170AC-1024RES-2025</v>
      </c>
      <c r="F310" s="203"/>
      <c r="G310" s="138">
        <f>+VLOOKUP($G309,$K$2:$M$15,2,FALSE)</f>
        <v>10</v>
      </c>
      <c r="H310" s="97"/>
    </row>
    <row r="312" spans="1:9" x14ac:dyDescent="0.25">
      <c r="A312" s="189" t="s">
        <v>91</v>
      </c>
      <c r="B312" s="189"/>
      <c r="C312" s="189"/>
      <c r="D312" s="189"/>
      <c r="E312" s="189"/>
      <c r="F312" s="189"/>
      <c r="G312" s="98"/>
      <c r="H312" s="98"/>
    </row>
    <row r="313" spans="1:9" ht="29.95" customHeight="1" x14ac:dyDescent="0.25">
      <c r="B313" s="87" t="s">
        <v>92</v>
      </c>
      <c r="C313" s="204" t="s">
        <v>135</v>
      </c>
      <c r="D313" s="204"/>
      <c r="E313" s="87" t="s">
        <v>93</v>
      </c>
      <c r="F313" s="88" t="s">
        <v>138</v>
      </c>
    </row>
    <row r="314" spans="1:9" ht="29.95" customHeight="1" x14ac:dyDescent="0.25">
      <c r="B314" s="87" t="s">
        <v>94</v>
      </c>
      <c r="C314" s="204" t="s">
        <v>124</v>
      </c>
      <c r="D314" s="204"/>
      <c r="E314" s="87" t="s">
        <v>95</v>
      </c>
      <c r="F314" s="88" t="s">
        <v>23</v>
      </c>
    </row>
    <row r="315" spans="1:9" ht="29.95" customHeight="1" x14ac:dyDescent="0.25">
      <c r="B315" s="87" t="s">
        <v>96</v>
      </c>
      <c r="C315" s="208" t="s">
        <v>136</v>
      </c>
      <c r="D315" s="208"/>
      <c r="E315" s="87" t="s">
        <v>97</v>
      </c>
      <c r="F315" s="114" t="s">
        <v>125</v>
      </c>
    </row>
    <row r="316" spans="1:9" ht="29.95" customHeight="1" x14ac:dyDescent="0.25">
      <c r="B316" s="87" t="s">
        <v>98</v>
      </c>
      <c r="C316" s="191"/>
      <c r="D316" s="191"/>
      <c r="E316" s="87" t="s">
        <v>99</v>
      </c>
      <c r="F316" s="110"/>
    </row>
    <row r="317" spans="1:9" x14ac:dyDescent="0.25">
      <c r="I317" s="105"/>
    </row>
    <row r="319" spans="1:9" x14ac:dyDescent="0.25">
      <c r="A319" s="189" t="s">
        <v>100</v>
      </c>
      <c r="B319" s="189"/>
      <c r="C319" s="189"/>
      <c r="D319" s="189"/>
      <c r="E319" s="192"/>
      <c r="F319" s="192"/>
      <c r="G319" s="98"/>
      <c r="H319" s="98"/>
    </row>
    <row r="320" spans="1:9" ht="30.15" x14ac:dyDescent="0.25">
      <c r="A320" s="87" t="s">
        <v>101</v>
      </c>
      <c r="B320" s="89" t="s">
        <v>102</v>
      </c>
      <c r="C320" s="89" t="s">
        <v>103</v>
      </c>
      <c r="D320" s="89" t="s">
        <v>104</v>
      </c>
      <c r="E320" s="89" t="s">
        <v>105</v>
      </c>
      <c r="F320" s="89" t="s">
        <v>106</v>
      </c>
      <c r="G320" s="99"/>
      <c r="H320" s="99"/>
    </row>
    <row r="321" spans="1:8" ht="20.149999999999999" customHeight="1" x14ac:dyDescent="0.25">
      <c r="A321" s="90">
        <v>1</v>
      </c>
      <c r="B321" s="91" t="s">
        <v>107</v>
      </c>
      <c r="C321" s="88" t="str">
        <f>+$I$6</f>
        <v>RES</v>
      </c>
      <c r="D321" s="91"/>
      <c r="E321" s="88">
        <f>+VLOOKUP($G310,CÁRNICOS!$BW$85:$CA$103,4,FALSE)</f>
        <v>0</v>
      </c>
      <c r="F321" s="91"/>
      <c r="G321" s="100"/>
      <c r="H321" s="100"/>
    </row>
    <row r="322" spans="1:8" ht="20.149999999999999" customHeight="1" x14ac:dyDescent="0.25">
      <c r="A322" s="90">
        <v>2</v>
      </c>
      <c r="B322" s="91" t="s">
        <v>108</v>
      </c>
      <c r="C322" s="91"/>
      <c r="D322" s="91"/>
      <c r="E322" s="91"/>
      <c r="F322" s="91"/>
      <c r="G322" s="100"/>
      <c r="H322" s="100"/>
    </row>
    <row r="324" spans="1:8" x14ac:dyDescent="0.25">
      <c r="A324" s="189" t="s">
        <v>109</v>
      </c>
      <c r="B324" s="189"/>
      <c r="C324" s="189"/>
      <c r="D324" s="189"/>
      <c r="E324" s="192"/>
      <c r="F324" s="192"/>
      <c r="G324" s="98"/>
      <c r="H324" s="98"/>
    </row>
    <row r="325" spans="1:8" ht="25.2" customHeight="1" x14ac:dyDescent="0.25">
      <c r="B325" s="87" t="s">
        <v>110</v>
      </c>
      <c r="C325" s="92"/>
      <c r="D325" s="87" t="s">
        <v>111</v>
      </c>
      <c r="E325" s="206"/>
      <c r="F325" s="206"/>
      <c r="G325" s="101"/>
      <c r="H325" s="101"/>
    </row>
    <row r="326" spans="1:8" ht="25.2" customHeight="1" x14ac:dyDescent="0.25">
      <c r="B326" s="87" t="s">
        <v>112</v>
      </c>
      <c r="C326" s="92"/>
      <c r="D326" s="87" t="s">
        <v>113</v>
      </c>
      <c r="E326" s="206"/>
      <c r="F326" s="206"/>
      <c r="G326" s="101"/>
      <c r="H326" s="101"/>
    </row>
    <row r="327" spans="1:8" ht="25.2" customHeight="1" x14ac:dyDescent="0.25">
      <c r="D327" s="87" t="s">
        <v>97</v>
      </c>
      <c r="E327" s="207"/>
      <c r="F327" s="207"/>
      <c r="G327" s="102"/>
      <c r="H327" s="102"/>
    </row>
    <row r="328" spans="1:8" ht="25.2" customHeight="1" x14ac:dyDescent="0.25">
      <c r="B328" s="87" t="s">
        <v>114</v>
      </c>
      <c r="C328" s="191"/>
      <c r="D328" s="191"/>
      <c r="E328" s="93" t="s">
        <v>115</v>
      </c>
      <c r="F328" s="113"/>
    </row>
    <row r="330" spans="1:8" x14ac:dyDescent="0.25">
      <c r="A330" s="189" t="s">
        <v>116</v>
      </c>
      <c r="B330" s="189"/>
      <c r="C330" s="189"/>
      <c r="D330" s="189"/>
      <c r="E330" s="189"/>
      <c r="F330" s="189"/>
      <c r="G330" s="98"/>
      <c r="H330" s="98"/>
    </row>
    <row r="331" spans="1:8" ht="25.2" customHeight="1" x14ac:dyDescent="0.25">
      <c r="B331" s="93" t="s">
        <v>94</v>
      </c>
      <c r="C331" s="96" t="s">
        <v>124</v>
      </c>
      <c r="D331" s="87" t="s">
        <v>117</v>
      </c>
      <c r="E331" s="190"/>
      <c r="F331" s="190"/>
      <c r="G331" s="103"/>
      <c r="H331" s="103"/>
    </row>
    <row r="332" spans="1:8" ht="25.2" customHeight="1" x14ac:dyDescent="0.25">
      <c r="B332" s="93" t="s">
        <v>95</v>
      </c>
      <c r="C332" s="111" t="str">
        <f>+$G309</f>
        <v>AGUADAS</v>
      </c>
      <c r="D332" s="87" t="s">
        <v>118</v>
      </c>
      <c r="E332" s="190"/>
      <c r="F332" s="190"/>
      <c r="G332" s="103"/>
      <c r="H332" s="103"/>
    </row>
    <row r="333" spans="1:8" ht="25.2" customHeight="1" x14ac:dyDescent="0.25">
      <c r="B333" s="93" t="s">
        <v>119</v>
      </c>
      <c r="C333" s="112"/>
      <c r="D333" s="87" t="s">
        <v>153</v>
      </c>
      <c r="E333" s="205" t="str">
        <f>+VLOOKUP($G309,$K$2:$M$15,3,FALSE)</f>
        <v>CRA 7 ENTRE CALLE 13 Y 14</v>
      </c>
      <c r="F333" s="205"/>
    </row>
    <row r="334" spans="1:8" ht="25.2" customHeight="1" x14ac:dyDescent="0.25">
      <c r="B334" s="93" t="s">
        <v>120</v>
      </c>
      <c r="C334" s="112"/>
    </row>
    <row r="336" spans="1:8" x14ac:dyDescent="0.25">
      <c r="A336" s="189" t="s">
        <v>121</v>
      </c>
      <c r="B336" s="189"/>
      <c r="C336" s="192"/>
      <c r="D336" s="192"/>
      <c r="E336" s="192"/>
      <c r="F336" s="189"/>
      <c r="G336" s="98"/>
      <c r="H336" s="98"/>
    </row>
    <row r="337" spans="1:9" ht="25.2" customHeight="1" x14ac:dyDescent="0.25">
      <c r="B337" s="93" t="s">
        <v>158</v>
      </c>
      <c r="C337" s="193" t="s">
        <v>171</v>
      </c>
      <c r="D337" s="194"/>
      <c r="E337" s="195"/>
    </row>
    <row r="338" spans="1:9" ht="25.2" customHeight="1" x14ac:dyDescent="0.25">
      <c r="B338" s="87" t="s">
        <v>113</v>
      </c>
      <c r="C338" s="199">
        <v>1298501</v>
      </c>
      <c r="D338" s="194"/>
      <c r="E338" s="195"/>
    </row>
    <row r="339" spans="1:9" ht="25.2" customHeight="1" x14ac:dyDescent="0.25">
      <c r="B339" s="87" t="s">
        <v>122</v>
      </c>
      <c r="C339" s="193" t="s">
        <v>159</v>
      </c>
      <c r="D339" s="194"/>
      <c r="E339" s="195"/>
    </row>
    <row r="340" spans="1:9" ht="25.2" customHeight="1" x14ac:dyDescent="0.25">
      <c r="B340" s="87" t="s">
        <v>123</v>
      </c>
      <c r="C340" s="196"/>
      <c r="D340" s="197"/>
      <c r="E340" s="198"/>
    </row>
    <row r="342" spans="1:9" ht="15.75" thickBot="1" x14ac:dyDescent="0.3">
      <c r="I342" s="95" t="s">
        <v>88</v>
      </c>
    </row>
    <row r="343" spans="1:9" ht="23.4" customHeight="1" thickBot="1" x14ac:dyDescent="0.3">
      <c r="B343" s="209" t="str">
        <f>+$B$3</f>
        <v>CÓDIGO INVIMA: 170AC</v>
      </c>
      <c r="C343" s="200" t="s">
        <v>89</v>
      </c>
      <c r="D343" s="200"/>
      <c r="E343" s="201" t="s">
        <v>90</v>
      </c>
      <c r="F343" s="201"/>
      <c r="G343" s="94" t="s">
        <v>43</v>
      </c>
      <c r="H343" s="109" t="str">
        <f>+$H$3</f>
        <v>24</v>
      </c>
      <c r="I343" s="108" t="str">
        <f>+VLOOKUP($G343,$K$2:$M$15,2,FALSE)&amp;$H$3&amp;$H$2</f>
        <v>1124RES</v>
      </c>
    </row>
    <row r="344" spans="1:9" ht="25.2" customHeight="1" thickBot="1" x14ac:dyDescent="0.3">
      <c r="B344" s="210"/>
      <c r="C344" s="202"/>
      <c r="D344" s="202"/>
      <c r="E344" s="203" t="str">
        <f>+$F$7&amp;"-"&amp;$I343&amp;"-"&amp;2025</f>
        <v>170AC-1124RES-2025</v>
      </c>
      <c r="F344" s="203"/>
      <c r="G344" s="138">
        <f>+VLOOKUP($G343,$K$2:$M$15,2,FALSE)</f>
        <v>11</v>
      </c>
      <c r="H344" s="97"/>
    </row>
    <row r="346" spans="1:9" x14ac:dyDescent="0.25">
      <c r="A346" s="189" t="s">
        <v>91</v>
      </c>
      <c r="B346" s="189"/>
      <c r="C346" s="189"/>
      <c r="D346" s="189"/>
      <c r="E346" s="189"/>
      <c r="F346" s="189"/>
      <c r="G346" s="98"/>
      <c r="H346" s="98"/>
    </row>
    <row r="347" spans="1:9" ht="29.95" customHeight="1" x14ac:dyDescent="0.25">
      <c r="B347" s="87" t="s">
        <v>92</v>
      </c>
      <c r="C347" s="204" t="s">
        <v>135</v>
      </c>
      <c r="D347" s="204"/>
      <c r="E347" s="87" t="s">
        <v>93</v>
      </c>
      <c r="F347" s="88" t="s">
        <v>138</v>
      </c>
    </row>
    <row r="348" spans="1:9" ht="29.95" customHeight="1" x14ac:dyDescent="0.25">
      <c r="B348" s="87" t="s">
        <v>94</v>
      </c>
      <c r="C348" s="204" t="s">
        <v>124</v>
      </c>
      <c r="D348" s="204"/>
      <c r="E348" s="87" t="s">
        <v>95</v>
      </c>
      <c r="F348" s="88" t="s">
        <v>23</v>
      </c>
    </row>
    <row r="349" spans="1:9" ht="29.95" customHeight="1" x14ac:dyDescent="0.25">
      <c r="B349" s="87" t="s">
        <v>96</v>
      </c>
      <c r="C349" s="208" t="s">
        <v>136</v>
      </c>
      <c r="D349" s="208"/>
      <c r="E349" s="87" t="s">
        <v>97</v>
      </c>
      <c r="F349" s="114" t="s">
        <v>125</v>
      </c>
    </row>
    <row r="350" spans="1:9" ht="29.95" customHeight="1" x14ac:dyDescent="0.25">
      <c r="B350" s="87" t="s">
        <v>98</v>
      </c>
      <c r="C350" s="191"/>
      <c r="D350" s="191"/>
      <c r="E350" s="87" t="s">
        <v>99</v>
      </c>
      <c r="F350" s="110"/>
    </row>
    <row r="351" spans="1:9" x14ac:dyDescent="0.25">
      <c r="I351" s="105"/>
    </row>
    <row r="353" spans="1:8" x14ac:dyDescent="0.25">
      <c r="A353" s="189" t="s">
        <v>100</v>
      </c>
      <c r="B353" s="189"/>
      <c r="C353" s="189"/>
      <c r="D353" s="189"/>
      <c r="E353" s="192"/>
      <c r="F353" s="192"/>
      <c r="G353" s="98"/>
      <c r="H353" s="98"/>
    </row>
    <row r="354" spans="1:8" ht="30.15" x14ac:dyDescent="0.25">
      <c r="A354" s="87" t="s">
        <v>101</v>
      </c>
      <c r="B354" s="89" t="s">
        <v>102</v>
      </c>
      <c r="C354" s="89" t="s">
        <v>103</v>
      </c>
      <c r="D354" s="89" t="s">
        <v>104</v>
      </c>
      <c r="E354" s="89" t="s">
        <v>105</v>
      </c>
      <c r="F354" s="89" t="s">
        <v>106</v>
      </c>
      <c r="G354" s="99"/>
      <c r="H354" s="99"/>
    </row>
    <row r="355" spans="1:8" ht="20.149999999999999" customHeight="1" x14ac:dyDescent="0.25">
      <c r="A355" s="90">
        <v>1</v>
      </c>
      <c r="B355" s="91" t="s">
        <v>107</v>
      </c>
      <c r="C355" s="88" t="str">
        <f>+$I$6</f>
        <v>RES</v>
      </c>
      <c r="D355" s="91"/>
      <c r="E355" s="88">
        <f>+VLOOKUP($G344,CÁRNICOS!$BW$85:$CA$103,4,FALSE)</f>
        <v>0</v>
      </c>
      <c r="F355" s="91"/>
      <c r="G355" s="100"/>
      <c r="H355" s="100"/>
    </row>
    <row r="356" spans="1:8" ht="20.149999999999999" customHeight="1" x14ac:dyDescent="0.25">
      <c r="A356" s="90">
        <v>2</v>
      </c>
      <c r="B356" s="91" t="s">
        <v>108</v>
      </c>
      <c r="C356" s="91"/>
      <c r="D356" s="91"/>
      <c r="E356" s="91"/>
      <c r="F356" s="91"/>
      <c r="G356" s="100"/>
      <c r="H356" s="100"/>
    </row>
    <row r="358" spans="1:8" x14ac:dyDescent="0.25">
      <c r="A358" s="189" t="s">
        <v>109</v>
      </c>
      <c r="B358" s="189"/>
      <c r="C358" s="189"/>
      <c r="D358" s="189"/>
      <c r="E358" s="192"/>
      <c r="F358" s="192"/>
      <c r="G358" s="98"/>
      <c r="H358" s="98"/>
    </row>
    <row r="359" spans="1:8" ht="25.2" customHeight="1" x14ac:dyDescent="0.25">
      <c r="B359" s="87" t="s">
        <v>110</v>
      </c>
      <c r="C359" s="92"/>
      <c r="D359" s="87" t="s">
        <v>111</v>
      </c>
      <c r="E359" s="206"/>
      <c r="F359" s="206"/>
      <c r="G359" s="101"/>
      <c r="H359" s="101"/>
    </row>
    <row r="360" spans="1:8" ht="25.2" customHeight="1" x14ac:dyDescent="0.25">
      <c r="B360" s="87" t="s">
        <v>112</v>
      </c>
      <c r="C360" s="92"/>
      <c r="D360" s="87" t="s">
        <v>113</v>
      </c>
      <c r="E360" s="206"/>
      <c r="F360" s="206"/>
      <c r="G360" s="101"/>
      <c r="H360" s="101"/>
    </row>
    <row r="361" spans="1:8" ht="25.2" customHeight="1" x14ac:dyDescent="0.25">
      <c r="D361" s="87" t="s">
        <v>97</v>
      </c>
      <c r="E361" s="207"/>
      <c r="F361" s="207"/>
      <c r="G361" s="102"/>
      <c r="H361" s="102"/>
    </row>
    <row r="362" spans="1:8" ht="25.2" customHeight="1" x14ac:dyDescent="0.25">
      <c r="B362" s="87" t="s">
        <v>114</v>
      </c>
      <c r="C362" s="191"/>
      <c r="D362" s="191"/>
      <c r="E362" s="93" t="s">
        <v>115</v>
      </c>
      <c r="F362" s="113"/>
    </row>
    <row r="364" spans="1:8" x14ac:dyDescent="0.25">
      <c r="A364" s="189" t="s">
        <v>116</v>
      </c>
      <c r="B364" s="189"/>
      <c r="C364" s="189"/>
      <c r="D364" s="189"/>
      <c r="E364" s="189"/>
      <c r="F364" s="189"/>
      <c r="G364" s="98"/>
      <c r="H364" s="98"/>
    </row>
    <row r="365" spans="1:8" ht="25.2" customHeight="1" x14ac:dyDescent="0.25">
      <c r="B365" s="93" t="s">
        <v>94</v>
      </c>
      <c r="C365" s="96" t="s">
        <v>124</v>
      </c>
      <c r="D365" s="87" t="s">
        <v>117</v>
      </c>
      <c r="E365" s="190"/>
      <c r="F365" s="190"/>
      <c r="G365" s="103"/>
      <c r="H365" s="103"/>
    </row>
    <row r="366" spans="1:8" ht="25.2" customHeight="1" x14ac:dyDescent="0.25">
      <c r="B366" s="93" t="s">
        <v>95</v>
      </c>
      <c r="C366" s="111" t="str">
        <f>+$G343</f>
        <v>SALAMINA</v>
      </c>
      <c r="D366" s="87" t="s">
        <v>118</v>
      </c>
      <c r="E366" s="190"/>
      <c r="F366" s="190"/>
      <c r="G366" s="103"/>
      <c r="H366" s="103"/>
    </row>
    <row r="367" spans="1:8" ht="25.2" customHeight="1" x14ac:dyDescent="0.25">
      <c r="B367" s="93" t="s">
        <v>119</v>
      </c>
      <c r="C367" s="112"/>
      <c r="D367" s="87" t="s">
        <v>153</v>
      </c>
      <c r="E367" s="205" t="str">
        <f>+VLOOKUP($G343,$K$2:$M$15,3,FALSE)</f>
        <v>VDA EL CARRETERO, FINCA MATEGUADUA</v>
      </c>
      <c r="F367" s="205"/>
    </row>
    <row r="368" spans="1:8" ht="25.2" customHeight="1" x14ac:dyDescent="0.25">
      <c r="B368" s="93" t="s">
        <v>120</v>
      </c>
      <c r="C368" s="112"/>
    </row>
    <row r="370" spans="1:9" x14ac:dyDescent="0.25">
      <c r="A370" s="189" t="s">
        <v>121</v>
      </c>
      <c r="B370" s="189"/>
      <c r="C370" s="192"/>
      <c r="D370" s="192"/>
      <c r="E370" s="192"/>
      <c r="F370" s="189"/>
      <c r="G370" s="98"/>
      <c r="H370" s="98"/>
    </row>
    <row r="371" spans="1:9" ht="25.2" customHeight="1" x14ac:dyDescent="0.25">
      <c r="B371" s="93" t="s">
        <v>158</v>
      </c>
      <c r="C371" s="193" t="s">
        <v>171</v>
      </c>
      <c r="D371" s="194"/>
      <c r="E371" s="195"/>
    </row>
    <row r="372" spans="1:9" ht="25.2" customHeight="1" x14ac:dyDescent="0.25">
      <c r="B372" s="87" t="s">
        <v>113</v>
      </c>
      <c r="C372" s="199">
        <v>1298501</v>
      </c>
      <c r="D372" s="194"/>
      <c r="E372" s="195"/>
    </row>
    <row r="373" spans="1:9" ht="25.2" customHeight="1" x14ac:dyDescent="0.25">
      <c r="B373" s="87" t="s">
        <v>122</v>
      </c>
      <c r="C373" s="193" t="s">
        <v>159</v>
      </c>
      <c r="D373" s="194"/>
      <c r="E373" s="195"/>
    </row>
    <row r="374" spans="1:9" ht="25.2" customHeight="1" x14ac:dyDescent="0.25">
      <c r="B374" s="87" t="s">
        <v>123</v>
      </c>
      <c r="C374" s="196"/>
      <c r="D374" s="197"/>
      <c r="E374" s="198"/>
    </row>
    <row r="376" spans="1:9" ht="15.75" thickBot="1" x14ac:dyDescent="0.3">
      <c r="I376" s="95" t="s">
        <v>88</v>
      </c>
    </row>
    <row r="377" spans="1:9" ht="23.4" customHeight="1" thickBot="1" x14ac:dyDescent="0.3">
      <c r="B377" s="209" t="str">
        <f>+$B$3</f>
        <v>CÓDIGO INVIMA: 170AC</v>
      </c>
      <c r="C377" s="200" t="s">
        <v>89</v>
      </c>
      <c r="D377" s="200"/>
      <c r="E377" s="201" t="s">
        <v>90</v>
      </c>
      <c r="F377" s="201"/>
      <c r="G377" s="94" t="s">
        <v>45</v>
      </c>
      <c r="H377" s="109" t="str">
        <f>+$H$3</f>
        <v>24</v>
      </c>
      <c r="I377" s="108" t="str">
        <f>+VLOOKUP($G377,$K$2:$M$15,2,FALSE)&amp;$H$3&amp;$H$2</f>
        <v>1224RES</v>
      </c>
    </row>
    <row r="378" spans="1:9" ht="25.2" customHeight="1" thickBot="1" x14ac:dyDescent="0.3">
      <c r="B378" s="210"/>
      <c r="C378" s="202"/>
      <c r="D378" s="202"/>
      <c r="E378" s="203" t="str">
        <f>+$F$7&amp;"-"&amp;$I377&amp;"-"&amp;2025</f>
        <v>170AC-1224RES-2025</v>
      </c>
      <c r="F378" s="203"/>
      <c r="G378" s="138">
        <f>+VLOOKUP($G377,$K$2:$M$15,2,FALSE)</f>
        <v>12</v>
      </c>
      <c r="H378" s="97"/>
    </row>
    <row r="380" spans="1:9" x14ac:dyDescent="0.25">
      <c r="A380" s="189" t="s">
        <v>91</v>
      </c>
      <c r="B380" s="189"/>
      <c r="C380" s="189"/>
      <c r="D380" s="189"/>
      <c r="E380" s="189"/>
      <c r="F380" s="189"/>
      <c r="G380" s="98"/>
      <c r="H380" s="98"/>
    </row>
    <row r="381" spans="1:9" ht="29.95" customHeight="1" x14ac:dyDescent="0.25">
      <c r="B381" s="87" t="s">
        <v>92</v>
      </c>
      <c r="C381" s="204" t="s">
        <v>135</v>
      </c>
      <c r="D381" s="204"/>
      <c r="E381" s="87" t="s">
        <v>93</v>
      </c>
      <c r="F381" s="88" t="s">
        <v>138</v>
      </c>
    </row>
    <row r="382" spans="1:9" ht="29.95" customHeight="1" x14ac:dyDescent="0.25">
      <c r="B382" s="87" t="s">
        <v>94</v>
      </c>
      <c r="C382" s="204" t="s">
        <v>124</v>
      </c>
      <c r="D382" s="204"/>
      <c r="E382" s="87" t="s">
        <v>95</v>
      </c>
      <c r="F382" s="88" t="s">
        <v>23</v>
      </c>
    </row>
    <row r="383" spans="1:9" ht="29.95" customHeight="1" x14ac:dyDescent="0.25">
      <c r="B383" s="87" t="s">
        <v>96</v>
      </c>
      <c r="C383" s="208" t="s">
        <v>136</v>
      </c>
      <c r="D383" s="208"/>
      <c r="E383" s="87" t="s">
        <v>97</v>
      </c>
      <c r="F383" s="114" t="s">
        <v>125</v>
      </c>
    </row>
    <row r="384" spans="1:9" ht="29.95" customHeight="1" x14ac:dyDescent="0.25">
      <c r="B384" s="87" t="s">
        <v>98</v>
      </c>
      <c r="C384" s="191"/>
      <c r="D384" s="191"/>
      <c r="E384" s="87" t="s">
        <v>99</v>
      </c>
      <c r="F384" s="110"/>
    </row>
    <row r="385" spans="1:9" x14ac:dyDescent="0.25">
      <c r="I385" s="105"/>
    </row>
    <row r="387" spans="1:9" x14ac:dyDescent="0.25">
      <c r="A387" s="189" t="s">
        <v>100</v>
      </c>
      <c r="B387" s="189"/>
      <c r="C387" s="189"/>
      <c r="D387" s="189"/>
      <c r="E387" s="192"/>
      <c r="F387" s="192"/>
      <c r="G387" s="98"/>
      <c r="H387" s="98"/>
    </row>
    <row r="388" spans="1:9" ht="30.15" x14ac:dyDescent="0.25">
      <c r="A388" s="87" t="s">
        <v>101</v>
      </c>
      <c r="B388" s="89" t="s">
        <v>102</v>
      </c>
      <c r="C388" s="89" t="s">
        <v>103</v>
      </c>
      <c r="D388" s="89" t="s">
        <v>104</v>
      </c>
      <c r="E388" s="89" t="s">
        <v>105</v>
      </c>
      <c r="F388" s="89" t="s">
        <v>106</v>
      </c>
      <c r="G388" s="99"/>
      <c r="H388" s="99"/>
    </row>
    <row r="389" spans="1:9" ht="20.149999999999999" customHeight="1" x14ac:dyDescent="0.25">
      <c r="A389" s="90">
        <v>1</v>
      </c>
      <c r="B389" s="91" t="s">
        <v>107</v>
      </c>
      <c r="C389" s="88" t="str">
        <f>+$I$6</f>
        <v>RES</v>
      </c>
      <c r="D389" s="91"/>
      <c r="E389" s="88">
        <f>+VLOOKUP($G378,CÁRNICOS!$BW$85:$CA$103,4,FALSE)</f>
        <v>0</v>
      </c>
      <c r="F389" s="91"/>
      <c r="G389" s="100"/>
      <c r="H389" s="100"/>
    </row>
    <row r="390" spans="1:9" ht="20.149999999999999" customHeight="1" x14ac:dyDescent="0.25">
      <c r="A390" s="90">
        <v>2</v>
      </c>
      <c r="B390" s="91" t="s">
        <v>108</v>
      </c>
      <c r="C390" s="91"/>
      <c r="D390" s="91"/>
      <c r="E390" s="91"/>
      <c r="F390" s="91"/>
      <c r="G390" s="100"/>
      <c r="H390" s="100"/>
    </row>
    <row r="392" spans="1:9" x14ac:dyDescent="0.25">
      <c r="A392" s="189" t="s">
        <v>109</v>
      </c>
      <c r="B392" s="189"/>
      <c r="C392" s="189"/>
      <c r="D392" s="189"/>
      <c r="E392" s="192"/>
      <c r="F392" s="192"/>
      <c r="G392" s="98"/>
      <c r="H392" s="98"/>
    </row>
    <row r="393" spans="1:9" ht="25.2" customHeight="1" x14ac:dyDescent="0.25">
      <c r="B393" s="87" t="s">
        <v>110</v>
      </c>
      <c r="C393" s="92"/>
      <c r="D393" s="87" t="s">
        <v>111</v>
      </c>
      <c r="E393" s="206"/>
      <c r="F393" s="206"/>
      <c r="G393" s="101"/>
      <c r="H393" s="101"/>
    </row>
    <row r="394" spans="1:9" ht="25.2" customHeight="1" x14ac:dyDescent="0.25">
      <c r="B394" s="87" t="s">
        <v>112</v>
      </c>
      <c r="C394" s="92"/>
      <c r="D394" s="87" t="s">
        <v>113</v>
      </c>
      <c r="E394" s="206"/>
      <c r="F394" s="206"/>
      <c r="G394" s="101"/>
      <c r="H394" s="101"/>
    </row>
    <row r="395" spans="1:9" ht="25.2" customHeight="1" x14ac:dyDescent="0.25">
      <c r="D395" s="87" t="s">
        <v>97</v>
      </c>
      <c r="E395" s="207"/>
      <c r="F395" s="207"/>
      <c r="G395" s="102"/>
      <c r="H395" s="102"/>
    </row>
    <row r="396" spans="1:9" ht="25.2" customHeight="1" x14ac:dyDescent="0.25">
      <c r="B396" s="87" t="s">
        <v>114</v>
      </c>
      <c r="C396" s="191"/>
      <c r="D396" s="191"/>
      <c r="E396" s="93" t="s">
        <v>115</v>
      </c>
      <c r="F396" s="113"/>
    </row>
    <row r="398" spans="1:9" x14ac:dyDescent="0.25">
      <c r="A398" s="189" t="s">
        <v>116</v>
      </c>
      <c r="B398" s="189"/>
      <c r="C398" s="189"/>
      <c r="D398" s="189"/>
      <c r="E398" s="189"/>
      <c r="F398" s="189"/>
      <c r="G398" s="98"/>
      <c r="H398" s="98"/>
    </row>
    <row r="399" spans="1:9" ht="25.2" customHeight="1" x14ac:dyDescent="0.25">
      <c r="B399" s="93" t="s">
        <v>94</v>
      </c>
      <c r="C399" s="96" t="s">
        <v>124</v>
      </c>
      <c r="D399" s="87" t="s">
        <v>117</v>
      </c>
      <c r="E399" s="190"/>
      <c r="F399" s="190"/>
      <c r="G399" s="103"/>
      <c r="H399" s="103"/>
    </row>
    <row r="400" spans="1:9" ht="25.2" customHeight="1" x14ac:dyDescent="0.25">
      <c r="B400" s="93" t="s">
        <v>95</v>
      </c>
      <c r="C400" s="111" t="str">
        <f>+$G377</f>
        <v>ARANZAZU</v>
      </c>
      <c r="D400" s="87" t="s">
        <v>118</v>
      </c>
      <c r="E400" s="190"/>
      <c r="F400" s="190"/>
      <c r="G400" s="103"/>
      <c r="H400" s="103"/>
    </row>
    <row r="401" spans="1:9" ht="25.2" customHeight="1" x14ac:dyDescent="0.25">
      <c r="B401" s="93" t="s">
        <v>119</v>
      </c>
      <c r="C401" s="112"/>
      <c r="D401" s="87" t="s">
        <v>153</v>
      </c>
      <c r="E401" s="205" t="str">
        <f>+VLOOKUP($G377,$K$2:$M$15,3,FALSE)</f>
        <v>Carrera 5 #4 - 03</v>
      </c>
      <c r="F401" s="205"/>
    </row>
    <row r="402" spans="1:9" ht="25.2" customHeight="1" x14ac:dyDescent="0.25">
      <c r="B402" s="93" t="s">
        <v>120</v>
      </c>
      <c r="C402" s="112"/>
    </row>
    <row r="404" spans="1:9" x14ac:dyDescent="0.25">
      <c r="A404" s="189" t="s">
        <v>121</v>
      </c>
      <c r="B404" s="189"/>
      <c r="C404" s="192"/>
      <c r="D404" s="192"/>
      <c r="E404" s="192"/>
      <c r="F404" s="189"/>
      <c r="G404" s="98"/>
      <c r="H404" s="98"/>
    </row>
    <row r="405" spans="1:9" ht="25.2" customHeight="1" x14ac:dyDescent="0.25">
      <c r="B405" s="93" t="s">
        <v>158</v>
      </c>
      <c r="C405" s="193" t="s">
        <v>171</v>
      </c>
      <c r="D405" s="194"/>
      <c r="E405" s="195"/>
    </row>
    <row r="406" spans="1:9" ht="25.2" customHeight="1" x14ac:dyDescent="0.25">
      <c r="B406" s="87" t="s">
        <v>113</v>
      </c>
      <c r="C406" s="199">
        <v>1298501</v>
      </c>
      <c r="D406" s="194"/>
      <c r="E406" s="195"/>
    </row>
    <row r="407" spans="1:9" ht="25.2" customHeight="1" x14ac:dyDescent="0.25">
      <c r="B407" s="87" t="s">
        <v>122</v>
      </c>
      <c r="C407" s="193" t="s">
        <v>159</v>
      </c>
      <c r="D407" s="194"/>
      <c r="E407" s="195"/>
    </row>
    <row r="408" spans="1:9" ht="25.2" customHeight="1" x14ac:dyDescent="0.25">
      <c r="B408" s="87" t="s">
        <v>123</v>
      </c>
      <c r="C408" s="196"/>
      <c r="D408" s="197"/>
      <c r="E408" s="198"/>
    </row>
    <row r="410" spans="1:9" ht="15.75" thickBot="1" x14ac:dyDescent="0.3">
      <c r="I410" s="95" t="s">
        <v>88</v>
      </c>
    </row>
    <row r="411" spans="1:9" ht="23.4" customHeight="1" thickBot="1" x14ac:dyDescent="0.3">
      <c r="B411" s="209" t="str">
        <f>+$B$3</f>
        <v>CÓDIGO INVIMA: 170AC</v>
      </c>
      <c r="C411" s="200" t="s">
        <v>89</v>
      </c>
      <c r="D411" s="200"/>
      <c r="E411" s="201" t="s">
        <v>90</v>
      </c>
      <c r="F411" s="201"/>
      <c r="G411" s="94" t="s">
        <v>151</v>
      </c>
      <c r="H411" s="109" t="str">
        <f>+$H$3</f>
        <v>24</v>
      </c>
      <c r="I411" s="108" t="str">
        <f>+VLOOKUP($G411,$K$2:$M$15,2,FALSE)&amp;$H$3&amp;$H$2</f>
        <v>1324RES</v>
      </c>
    </row>
    <row r="412" spans="1:9" ht="25.2" customHeight="1" thickBot="1" x14ac:dyDescent="0.3">
      <c r="B412" s="210"/>
      <c r="C412" s="202"/>
      <c r="D412" s="202"/>
      <c r="E412" s="203" t="str">
        <f>+$F$7&amp;"-"&amp;$I411&amp;"-"&amp;2025</f>
        <v>170AC-1324RES-2025</v>
      </c>
      <c r="F412" s="203"/>
      <c r="G412" s="138">
        <f>+VLOOKUP($G411,$K$2:$M$15,2,FALSE)</f>
        <v>13</v>
      </c>
      <c r="H412" s="97"/>
    </row>
    <row r="414" spans="1:9" x14ac:dyDescent="0.25">
      <c r="A414" s="189" t="s">
        <v>91</v>
      </c>
      <c r="B414" s="189"/>
      <c r="C414" s="189"/>
      <c r="D414" s="189"/>
      <c r="E414" s="189"/>
      <c r="F414" s="189"/>
      <c r="G414" s="98"/>
      <c r="H414" s="98"/>
    </row>
    <row r="415" spans="1:9" ht="29.95" customHeight="1" x14ac:dyDescent="0.25">
      <c r="B415" s="87" t="s">
        <v>92</v>
      </c>
      <c r="C415" s="204" t="s">
        <v>135</v>
      </c>
      <c r="D415" s="204"/>
      <c r="E415" s="87" t="s">
        <v>93</v>
      </c>
      <c r="F415" s="88" t="s">
        <v>138</v>
      </c>
    </row>
    <row r="416" spans="1:9" ht="29.95" customHeight="1" x14ac:dyDescent="0.25">
      <c r="B416" s="87" t="s">
        <v>94</v>
      </c>
      <c r="C416" s="204" t="s">
        <v>124</v>
      </c>
      <c r="D416" s="204"/>
      <c r="E416" s="87" t="s">
        <v>95</v>
      </c>
      <c r="F416" s="88" t="s">
        <v>23</v>
      </c>
    </row>
    <row r="417" spans="1:9" ht="29.95" customHeight="1" x14ac:dyDescent="0.25">
      <c r="B417" s="87" t="s">
        <v>96</v>
      </c>
      <c r="C417" s="208" t="s">
        <v>136</v>
      </c>
      <c r="D417" s="208"/>
      <c r="E417" s="87" t="s">
        <v>97</v>
      </c>
      <c r="F417" s="114" t="s">
        <v>125</v>
      </c>
    </row>
    <row r="418" spans="1:9" ht="29.95" customHeight="1" x14ac:dyDescent="0.25">
      <c r="B418" s="87" t="s">
        <v>98</v>
      </c>
      <c r="C418" s="191"/>
      <c r="D418" s="191"/>
      <c r="E418" s="87" t="s">
        <v>99</v>
      </c>
      <c r="F418" s="110"/>
    </row>
    <row r="419" spans="1:9" x14ac:dyDescent="0.25">
      <c r="I419" s="105"/>
    </row>
    <row r="421" spans="1:9" x14ac:dyDescent="0.25">
      <c r="A421" s="189" t="s">
        <v>100</v>
      </c>
      <c r="B421" s="189"/>
      <c r="C421" s="189"/>
      <c r="D421" s="189"/>
      <c r="E421" s="192"/>
      <c r="F421" s="192"/>
      <c r="G421" s="98"/>
      <c r="H421" s="98"/>
    </row>
    <row r="422" spans="1:9" ht="30.15" x14ac:dyDescent="0.25">
      <c r="A422" s="87" t="s">
        <v>101</v>
      </c>
      <c r="B422" s="89" t="s">
        <v>102</v>
      </c>
      <c r="C422" s="89" t="s">
        <v>103</v>
      </c>
      <c r="D422" s="89" t="s">
        <v>104</v>
      </c>
      <c r="E422" s="89" t="s">
        <v>105</v>
      </c>
      <c r="F422" s="89" t="s">
        <v>106</v>
      </c>
      <c r="G422" s="99"/>
      <c r="H422" s="99"/>
    </row>
    <row r="423" spans="1:9" ht="20.149999999999999" customHeight="1" x14ac:dyDescent="0.25">
      <c r="A423" s="90">
        <v>1</v>
      </c>
      <c r="B423" s="91" t="s">
        <v>107</v>
      </c>
      <c r="C423" s="88" t="str">
        <f>+$I$6</f>
        <v>RES</v>
      </c>
      <c r="D423" s="91"/>
      <c r="E423" s="88">
        <f>+VLOOKUP($G412,CÁRNICOS!$BW$85:$CA$103,4,FALSE)</f>
        <v>0</v>
      </c>
      <c r="F423" s="91"/>
      <c r="G423" s="100"/>
      <c r="H423" s="100"/>
    </row>
    <row r="424" spans="1:9" ht="20.149999999999999" customHeight="1" x14ac:dyDescent="0.25">
      <c r="A424" s="90">
        <v>2</v>
      </c>
      <c r="B424" s="91" t="s">
        <v>108</v>
      </c>
      <c r="C424" s="91"/>
      <c r="D424" s="91"/>
      <c r="E424" s="91"/>
      <c r="F424" s="91"/>
      <c r="G424" s="100"/>
      <c r="H424" s="100"/>
    </row>
    <row r="426" spans="1:9" x14ac:dyDescent="0.25">
      <c r="A426" s="189" t="s">
        <v>109</v>
      </c>
      <c r="B426" s="189"/>
      <c r="C426" s="189"/>
      <c r="D426" s="189"/>
      <c r="E426" s="192"/>
      <c r="F426" s="192"/>
      <c r="G426" s="98"/>
      <c r="H426" s="98"/>
    </row>
    <row r="427" spans="1:9" ht="25.2" customHeight="1" x14ac:dyDescent="0.25">
      <c r="B427" s="87" t="s">
        <v>110</v>
      </c>
      <c r="C427" s="92"/>
      <c r="D427" s="87" t="s">
        <v>111</v>
      </c>
      <c r="E427" s="206"/>
      <c r="F427" s="206"/>
      <c r="G427" s="101"/>
      <c r="H427" s="101"/>
    </row>
    <row r="428" spans="1:9" ht="25.2" customHeight="1" x14ac:dyDescent="0.25">
      <c r="B428" s="87" t="s">
        <v>112</v>
      </c>
      <c r="C428" s="92"/>
      <c r="D428" s="87" t="s">
        <v>113</v>
      </c>
      <c r="E428" s="206"/>
      <c r="F428" s="206"/>
      <c r="G428" s="101"/>
      <c r="H428" s="101"/>
    </row>
    <row r="429" spans="1:9" ht="25.2" customHeight="1" x14ac:dyDescent="0.25">
      <c r="D429" s="87" t="s">
        <v>97</v>
      </c>
      <c r="E429" s="207"/>
      <c r="F429" s="207"/>
      <c r="G429" s="102"/>
      <c r="H429" s="102"/>
    </row>
    <row r="430" spans="1:9" ht="25.2" customHeight="1" x14ac:dyDescent="0.25">
      <c r="B430" s="87" t="s">
        <v>114</v>
      </c>
      <c r="C430" s="191"/>
      <c r="D430" s="191"/>
      <c r="E430" s="93" t="s">
        <v>115</v>
      </c>
      <c r="F430" s="113"/>
    </row>
    <row r="432" spans="1:9" x14ac:dyDescent="0.25">
      <c r="A432" s="189" t="s">
        <v>116</v>
      </c>
      <c r="B432" s="189"/>
      <c r="C432" s="189"/>
      <c r="D432" s="189"/>
      <c r="E432" s="189"/>
      <c r="F432" s="189"/>
      <c r="G432" s="98"/>
      <c r="H432" s="98"/>
    </row>
    <row r="433" spans="1:8" ht="25.2" customHeight="1" x14ac:dyDescent="0.25">
      <c r="B433" s="93" t="s">
        <v>94</v>
      </c>
      <c r="C433" s="96" t="s">
        <v>124</v>
      </c>
      <c r="D433" s="87" t="s">
        <v>117</v>
      </c>
      <c r="E433" s="190"/>
      <c r="F433" s="190"/>
      <c r="G433" s="103"/>
      <c r="H433" s="103"/>
    </row>
    <row r="434" spans="1:8" ht="25.2" customHeight="1" x14ac:dyDescent="0.25">
      <c r="B434" s="93" t="s">
        <v>95</v>
      </c>
      <c r="C434" s="111" t="str">
        <f>+$G411</f>
        <v>MANIZALES</v>
      </c>
      <c r="D434" s="87" t="s">
        <v>118</v>
      </c>
      <c r="E434" s="190"/>
      <c r="F434" s="190"/>
      <c r="G434" s="103"/>
      <c r="H434" s="103"/>
    </row>
    <row r="435" spans="1:8" ht="25.2" customHeight="1" x14ac:dyDescent="0.25">
      <c r="B435" s="93" t="s">
        <v>119</v>
      </c>
      <c r="C435" s="112"/>
      <c r="D435" s="87" t="s">
        <v>153</v>
      </c>
      <c r="E435" s="205" t="str">
        <f>+VLOOKUP($G411,$K$2:$M$15,3,FALSE)</f>
        <v>CLL 118 # 25-61 KM 13 VIA AL MAGDALENA CONTINUA A LA ESTACION DE TERPEL</v>
      </c>
      <c r="F435" s="205"/>
    </row>
    <row r="436" spans="1:8" ht="25.2" customHeight="1" x14ac:dyDescent="0.25">
      <c r="B436" s="93" t="s">
        <v>120</v>
      </c>
      <c r="C436" s="112"/>
    </row>
    <row r="438" spans="1:8" x14ac:dyDescent="0.25">
      <c r="A438" s="189" t="s">
        <v>121</v>
      </c>
      <c r="B438" s="189"/>
      <c r="C438" s="192"/>
      <c r="D438" s="192"/>
      <c r="E438" s="192"/>
      <c r="F438" s="189"/>
      <c r="G438" s="98"/>
      <c r="H438" s="98"/>
    </row>
    <row r="439" spans="1:8" ht="25.2" customHeight="1" x14ac:dyDescent="0.25">
      <c r="B439" s="93" t="s">
        <v>158</v>
      </c>
      <c r="C439" s="193" t="s">
        <v>171</v>
      </c>
      <c r="D439" s="194"/>
      <c r="E439" s="195"/>
    </row>
    <row r="440" spans="1:8" ht="25.2" customHeight="1" x14ac:dyDescent="0.25">
      <c r="B440" s="87" t="s">
        <v>113</v>
      </c>
      <c r="C440" s="199">
        <v>1298501</v>
      </c>
      <c r="D440" s="194"/>
      <c r="E440" s="195"/>
    </row>
    <row r="441" spans="1:8" ht="25.2" customHeight="1" x14ac:dyDescent="0.25">
      <c r="B441" s="87" t="s">
        <v>122</v>
      </c>
      <c r="C441" s="193" t="s">
        <v>159</v>
      </c>
      <c r="D441" s="194"/>
      <c r="E441" s="195"/>
    </row>
    <row r="442" spans="1:8" ht="25.2" customHeight="1" x14ac:dyDescent="0.25">
      <c r="B442" s="87" t="s">
        <v>123</v>
      </c>
      <c r="C442" s="196"/>
      <c r="D442" s="197"/>
      <c r="E442" s="198"/>
    </row>
  </sheetData>
  <autoFilter ref="B2:B306" xr:uid="{FA55EB4D-628E-4D8C-BB9F-6BD582DB7FB8}"/>
  <mergeCells count="325">
    <mergeCell ref="C7:D7"/>
    <mergeCell ref="C8:D8"/>
    <mergeCell ref="C9:D9"/>
    <mergeCell ref="C10:D10"/>
    <mergeCell ref="A13:F13"/>
    <mergeCell ref="A18:F18"/>
    <mergeCell ref="B3:B4"/>
    <mergeCell ref="C3:D3"/>
    <mergeCell ref="E3:F3"/>
    <mergeCell ref="C4:D4"/>
    <mergeCell ref="E4:F4"/>
    <mergeCell ref="A6:F6"/>
    <mergeCell ref="E26:F26"/>
    <mergeCell ref="E27:F27"/>
    <mergeCell ref="A30:F30"/>
    <mergeCell ref="C31:E31"/>
    <mergeCell ref="C32:E32"/>
    <mergeCell ref="C33:E33"/>
    <mergeCell ref="E19:F19"/>
    <mergeCell ref="E20:F20"/>
    <mergeCell ref="E21:F21"/>
    <mergeCell ref="C22:D22"/>
    <mergeCell ref="A24:F24"/>
    <mergeCell ref="E25:F25"/>
    <mergeCell ref="A40:F40"/>
    <mergeCell ref="C41:D41"/>
    <mergeCell ref="C42:D42"/>
    <mergeCell ref="C43:D43"/>
    <mergeCell ref="C44:D44"/>
    <mergeCell ref="A47:F47"/>
    <mergeCell ref="C34:E34"/>
    <mergeCell ref="B37:B38"/>
    <mergeCell ref="C37:D37"/>
    <mergeCell ref="E37:F37"/>
    <mergeCell ref="C38:D38"/>
    <mergeCell ref="E38:F38"/>
    <mergeCell ref="E59:F59"/>
    <mergeCell ref="E60:F60"/>
    <mergeCell ref="E61:F61"/>
    <mergeCell ref="A64:F64"/>
    <mergeCell ref="C65:E65"/>
    <mergeCell ref="C66:E66"/>
    <mergeCell ref="A52:F52"/>
    <mergeCell ref="E53:F53"/>
    <mergeCell ref="E54:F54"/>
    <mergeCell ref="E55:F55"/>
    <mergeCell ref="C56:D56"/>
    <mergeCell ref="A58:F58"/>
    <mergeCell ref="A74:F74"/>
    <mergeCell ref="C75:D75"/>
    <mergeCell ref="C76:D76"/>
    <mergeCell ref="C77:D77"/>
    <mergeCell ref="C78:D78"/>
    <mergeCell ref="A81:F81"/>
    <mergeCell ref="C67:E67"/>
    <mergeCell ref="C68:E68"/>
    <mergeCell ref="B71:B72"/>
    <mergeCell ref="C71:D71"/>
    <mergeCell ref="E71:F71"/>
    <mergeCell ref="C72:D72"/>
    <mergeCell ref="E72:F72"/>
    <mergeCell ref="E93:F93"/>
    <mergeCell ref="E94:F94"/>
    <mergeCell ref="E95:F95"/>
    <mergeCell ref="A98:F98"/>
    <mergeCell ref="C99:E99"/>
    <mergeCell ref="C100:E100"/>
    <mergeCell ref="A86:F86"/>
    <mergeCell ref="E87:F87"/>
    <mergeCell ref="E88:F88"/>
    <mergeCell ref="E89:F89"/>
    <mergeCell ref="C90:D90"/>
    <mergeCell ref="A92:F92"/>
    <mergeCell ref="A108:F108"/>
    <mergeCell ref="C109:D109"/>
    <mergeCell ref="C110:D110"/>
    <mergeCell ref="C111:D111"/>
    <mergeCell ref="C112:D112"/>
    <mergeCell ref="A115:F115"/>
    <mergeCell ref="C101:E101"/>
    <mergeCell ref="C102:E102"/>
    <mergeCell ref="B105:B106"/>
    <mergeCell ref="C105:D105"/>
    <mergeCell ref="E105:F105"/>
    <mergeCell ref="C106:D106"/>
    <mergeCell ref="E106:F106"/>
    <mergeCell ref="E127:F127"/>
    <mergeCell ref="E128:F128"/>
    <mergeCell ref="E129:F129"/>
    <mergeCell ref="A132:F132"/>
    <mergeCell ref="C133:E133"/>
    <mergeCell ref="C134:E134"/>
    <mergeCell ref="A120:F120"/>
    <mergeCell ref="E121:F121"/>
    <mergeCell ref="E122:F122"/>
    <mergeCell ref="E123:F123"/>
    <mergeCell ref="C124:D124"/>
    <mergeCell ref="A126:F126"/>
    <mergeCell ref="A142:F142"/>
    <mergeCell ref="C143:D143"/>
    <mergeCell ref="C144:D144"/>
    <mergeCell ref="C145:D145"/>
    <mergeCell ref="C146:D146"/>
    <mergeCell ref="A149:F149"/>
    <mergeCell ref="C135:E135"/>
    <mergeCell ref="C136:E136"/>
    <mergeCell ref="B139:B140"/>
    <mergeCell ref="C139:D139"/>
    <mergeCell ref="E139:F139"/>
    <mergeCell ref="C140:D140"/>
    <mergeCell ref="E140:F140"/>
    <mergeCell ref="E161:F161"/>
    <mergeCell ref="E162:F162"/>
    <mergeCell ref="E163:F163"/>
    <mergeCell ref="A166:F166"/>
    <mergeCell ref="C167:E167"/>
    <mergeCell ref="C168:E168"/>
    <mergeCell ref="A154:F154"/>
    <mergeCell ref="E155:F155"/>
    <mergeCell ref="E156:F156"/>
    <mergeCell ref="E157:F157"/>
    <mergeCell ref="C158:D158"/>
    <mergeCell ref="A160:F160"/>
    <mergeCell ref="A176:F176"/>
    <mergeCell ref="C177:D177"/>
    <mergeCell ref="C178:D178"/>
    <mergeCell ref="C179:D179"/>
    <mergeCell ref="C180:D180"/>
    <mergeCell ref="A183:F183"/>
    <mergeCell ref="C169:E169"/>
    <mergeCell ref="C170:E170"/>
    <mergeCell ref="B173:B174"/>
    <mergeCell ref="C173:D173"/>
    <mergeCell ref="E173:F173"/>
    <mergeCell ref="C174:D174"/>
    <mergeCell ref="E174:F174"/>
    <mergeCell ref="E195:F195"/>
    <mergeCell ref="E196:F196"/>
    <mergeCell ref="E197:F197"/>
    <mergeCell ref="A200:F200"/>
    <mergeCell ref="C201:E201"/>
    <mergeCell ref="C202:E202"/>
    <mergeCell ref="A188:F188"/>
    <mergeCell ref="E189:F189"/>
    <mergeCell ref="E190:F190"/>
    <mergeCell ref="E191:F191"/>
    <mergeCell ref="C192:D192"/>
    <mergeCell ref="A194:F194"/>
    <mergeCell ref="A210:F210"/>
    <mergeCell ref="C211:D211"/>
    <mergeCell ref="C212:D212"/>
    <mergeCell ref="C213:D213"/>
    <mergeCell ref="C214:D214"/>
    <mergeCell ref="A217:F217"/>
    <mergeCell ref="C203:E203"/>
    <mergeCell ref="C204:E204"/>
    <mergeCell ref="B207:B208"/>
    <mergeCell ref="C207:D207"/>
    <mergeCell ref="E207:F207"/>
    <mergeCell ref="C208:D208"/>
    <mergeCell ref="E208:F208"/>
    <mergeCell ref="E229:F229"/>
    <mergeCell ref="E230:F230"/>
    <mergeCell ref="E231:F231"/>
    <mergeCell ref="A234:F234"/>
    <mergeCell ref="C235:E235"/>
    <mergeCell ref="C236:E236"/>
    <mergeCell ref="A222:F222"/>
    <mergeCell ref="E223:F223"/>
    <mergeCell ref="E224:F224"/>
    <mergeCell ref="E225:F225"/>
    <mergeCell ref="C226:D226"/>
    <mergeCell ref="A228:F228"/>
    <mergeCell ref="A244:F244"/>
    <mergeCell ref="C245:D245"/>
    <mergeCell ref="C246:D246"/>
    <mergeCell ref="C247:D247"/>
    <mergeCell ref="C248:D248"/>
    <mergeCell ref="A251:F251"/>
    <mergeCell ref="C237:E237"/>
    <mergeCell ref="C238:E238"/>
    <mergeCell ref="B241:B242"/>
    <mergeCell ref="C241:D241"/>
    <mergeCell ref="E241:F241"/>
    <mergeCell ref="C242:D242"/>
    <mergeCell ref="E242:F242"/>
    <mergeCell ref="E263:F263"/>
    <mergeCell ref="E264:F264"/>
    <mergeCell ref="E265:F265"/>
    <mergeCell ref="A268:F268"/>
    <mergeCell ref="C269:E269"/>
    <mergeCell ref="C270:E270"/>
    <mergeCell ref="A256:F256"/>
    <mergeCell ref="E257:F257"/>
    <mergeCell ref="E258:F258"/>
    <mergeCell ref="E259:F259"/>
    <mergeCell ref="C260:D260"/>
    <mergeCell ref="A262:F262"/>
    <mergeCell ref="A278:F278"/>
    <mergeCell ref="C279:D279"/>
    <mergeCell ref="C280:D280"/>
    <mergeCell ref="C281:D281"/>
    <mergeCell ref="C282:D282"/>
    <mergeCell ref="A285:F285"/>
    <mergeCell ref="C271:E271"/>
    <mergeCell ref="C272:E272"/>
    <mergeCell ref="B275:B276"/>
    <mergeCell ref="C275:D275"/>
    <mergeCell ref="E275:F275"/>
    <mergeCell ref="C276:D276"/>
    <mergeCell ref="E276:F276"/>
    <mergeCell ref="E297:F297"/>
    <mergeCell ref="E298:F298"/>
    <mergeCell ref="E299:F299"/>
    <mergeCell ref="A302:F302"/>
    <mergeCell ref="C303:E303"/>
    <mergeCell ref="C304:E304"/>
    <mergeCell ref="A290:F290"/>
    <mergeCell ref="E291:F291"/>
    <mergeCell ref="E292:F292"/>
    <mergeCell ref="E293:F293"/>
    <mergeCell ref="C294:D294"/>
    <mergeCell ref="A296:F296"/>
    <mergeCell ref="A312:F312"/>
    <mergeCell ref="C313:D313"/>
    <mergeCell ref="C314:D314"/>
    <mergeCell ref="C315:D315"/>
    <mergeCell ref="C316:D316"/>
    <mergeCell ref="A319:F319"/>
    <mergeCell ref="C305:E305"/>
    <mergeCell ref="C306:E306"/>
    <mergeCell ref="B309:B310"/>
    <mergeCell ref="C309:D309"/>
    <mergeCell ref="E309:F309"/>
    <mergeCell ref="C310:D310"/>
    <mergeCell ref="E310:F310"/>
    <mergeCell ref="E331:F331"/>
    <mergeCell ref="E332:F332"/>
    <mergeCell ref="E333:F333"/>
    <mergeCell ref="A336:F336"/>
    <mergeCell ref="C337:E337"/>
    <mergeCell ref="C338:E338"/>
    <mergeCell ref="A324:F324"/>
    <mergeCell ref="E325:F325"/>
    <mergeCell ref="E326:F326"/>
    <mergeCell ref="E327:F327"/>
    <mergeCell ref="C328:D328"/>
    <mergeCell ref="A330:F330"/>
    <mergeCell ref="A346:F346"/>
    <mergeCell ref="C347:D347"/>
    <mergeCell ref="C348:D348"/>
    <mergeCell ref="C349:D349"/>
    <mergeCell ref="C350:D350"/>
    <mergeCell ref="A353:F353"/>
    <mergeCell ref="C339:E339"/>
    <mergeCell ref="C340:E340"/>
    <mergeCell ref="B343:B344"/>
    <mergeCell ref="C343:D343"/>
    <mergeCell ref="E343:F343"/>
    <mergeCell ref="C344:D344"/>
    <mergeCell ref="E344:F344"/>
    <mergeCell ref="E365:F365"/>
    <mergeCell ref="E366:F366"/>
    <mergeCell ref="E367:F367"/>
    <mergeCell ref="A370:F370"/>
    <mergeCell ref="C371:E371"/>
    <mergeCell ref="C372:E372"/>
    <mergeCell ref="A358:F358"/>
    <mergeCell ref="E359:F359"/>
    <mergeCell ref="E360:F360"/>
    <mergeCell ref="E361:F361"/>
    <mergeCell ref="C362:D362"/>
    <mergeCell ref="A364:F364"/>
    <mergeCell ref="A380:F380"/>
    <mergeCell ref="C381:D381"/>
    <mergeCell ref="C382:D382"/>
    <mergeCell ref="C383:D383"/>
    <mergeCell ref="C384:D384"/>
    <mergeCell ref="A387:F387"/>
    <mergeCell ref="C373:E373"/>
    <mergeCell ref="C374:E374"/>
    <mergeCell ref="B377:B378"/>
    <mergeCell ref="C377:D377"/>
    <mergeCell ref="E377:F377"/>
    <mergeCell ref="C378:D378"/>
    <mergeCell ref="E378:F378"/>
    <mergeCell ref="E399:F399"/>
    <mergeCell ref="E400:F400"/>
    <mergeCell ref="E401:F401"/>
    <mergeCell ref="A404:F404"/>
    <mergeCell ref="C405:E405"/>
    <mergeCell ref="C406:E406"/>
    <mergeCell ref="A392:F392"/>
    <mergeCell ref="E393:F393"/>
    <mergeCell ref="E394:F394"/>
    <mergeCell ref="E395:F395"/>
    <mergeCell ref="C396:D396"/>
    <mergeCell ref="A398:F398"/>
    <mergeCell ref="A414:F414"/>
    <mergeCell ref="C415:D415"/>
    <mergeCell ref="C416:D416"/>
    <mergeCell ref="C417:D417"/>
    <mergeCell ref="C418:D418"/>
    <mergeCell ref="A421:F421"/>
    <mergeCell ref="C407:E407"/>
    <mergeCell ref="C408:E408"/>
    <mergeCell ref="B411:B412"/>
    <mergeCell ref="C411:D411"/>
    <mergeCell ref="E411:F411"/>
    <mergeCell ref="C412:D412"/>
    <mergeCell ref="E412:F412"/>
    <mergeCell ref="C441:E441"/>
    <mergeCell ref="C442:E442"/>
    <mergeCell ref="E433:F433"/>
    <mergeCell ref="E434:F434"/>
    <mergeCell ref="E435:F435"/>
    <mergeCell ref="A438:F438"/>
    <mergeCell ref="C439:E439"/>
    <mergeCell ref="C440:E440"/>
    <mergeCell ref="A426:F426"/>
    <mergeCell ref="E427:F427"/>
    <mergeCell ref="E428:F428"/>
    <mergeCell ref="E429:F429"/>
    <mergeCell ref="C430:D430"/>
    <mergeCell ref="A432:F432"/>
  </mergeCells>
  <printOptions horizontalCentered="1" verticalCentered="1"/>
  <pageMargins left="0.31496062992125984" right="0.31496062992125984" top="0.94488188976377963" bottom="0.55118110236220474" header="0.31496062992125984" footer="0.31496062992125984"/>
  <pageSetup scale="85" orientation="portrait" r:id="rId1"/>
  <headerFooter>
    <oddHeader>&amp;L&amp;"-,Negrita"
EXTRICTAMENTE PARA CONSUMO NACIONAL - 
GUÍA DE TRANSPORTE DE CARNE DESHUESADA DE RES, CERDO Y AVIAR&amp;C
&amp;G&amp;R&amp;"-,Negrita"&amp;G</oddHeader>
    <oddFooter>&amp;C&amp;"-,Negrita"&amp;12COPIA NO CONTROLADA
Ante la duda, para certificar comuníquese a los siguientes canales:
Celular: 310 369 9499
Correo: suministrosylogisticadeoriente@gmail.com</oddFooter>
  </headerFooter>
  <rowBreaks count="12" manualBreakCount="12">
    <brk id="34" max="5" man="1"/>
    <brk id="68" max="5" man="1"/>
    <brk id="102" max="5" man="1"/>
    <brk id="136" max="5" man="1"/>
    <brk id="170" max="5" man="1"/>
    <brk id="204" max="5" man="1"/>
    <brk id="238" max="5" man="1"/>
    <brk id="272" max="5" man="1"/>
    <brk id="306" max="5" man="1"/>
    <brk id="340" max="5" man="1"/>
    <brk id="374" max="5" man="1"/>
    <brk id="408" max="5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DC9-E2D3-4746-8409-9C9D214EB101}">
  <sheetPr>
    <tabColor theme="5" tint="0.59999389629810485"/>
  </sheetPr>
  <dimension ref="A1:M442"/>
  <sheetViews>
    <sheetView view="pageBreakPreview" zoomScale="60" zoomScaleNormal="100" workbookViewId="0">
      <selection activeCell="C32" sqref="C32:E32"/>
    </sheetView>
  </sheetViews>
  <sheetFormatPr baseColWidth="10" defaultColWidth="11.5546875" defaultRowHeight="15.05" x14ac:dyDescent="0.25"/>
  <cols>
    <col min="1" max="1" width="3.44140625" style="86" customWidth="1"/>
    <col min="2" max="2" width="24.109375" style="86" customWidth="1"/>
    <col min="3" max="3" width="23.6640625" style="86" customWidth="1"/>
    <col min="4" max="4" width="22.33203125" style="86" bestFit="1" customWidth="1"/>
    <col min="5" max="5" width="20.33203125" style="86" customWidth="1"/>
    <col min="6" max="8" width="23.6640625" style="86" customWidth="1"/>
    <col min="9" max="9" width="73.6640625" style="86" bestFit="1" customWidth="1"/>
    <col min="10" max="10" width="11.5546875" style="86"/>
    <col min="11" max="11" width="16.6640625" style="86" bestFit="1" customWidth="1"/>
    <col min="12" max="12" width="11.5546875" style="86" customWidth="1"/>
    <col min="13" max="16384" width="11.5546875" style="86"/>
  </cols>
  <sheetData>
    <row r="1" spans="1:13" x14ac:dyDescent="0.25">
      <c r="B1" s="121"/>
    </row>
    <row r="2" spans="1:13" ht="15.75" thickBot="1" x14ac:dyDescent="0.3">
      <c r="I2" s="95" t="s">
        <v>130</v>
      </c>
      <c r="K2" s="86" t="s">
        <v>27</v>
      </c>
      <c r="M2" s="86" t="s">
        <v>139</v>
      </c>
    </row>
    <row r="3" spans="1:13" ht="23.6" thickBot="1" x14ac:dyDescent="0.3">
      <c r="B3" s="209" t="s">
        <v>137</v>
      </c>
      <c r="C3" s="200" t="s">
        <v>89</v>
      </c>
      <c r="D3" s="200"/>
      <c r="E3" s="201" t="s">
        <v>90</v>
      </c>
      <c r="F3" s="201"/>
      <c r="G3" s="137" t="s">
        <v>23</v>
      </c>
      <c r="H3" s="104" t="s">
        <v>170</v>
      </c>
      <c r="I3" s="108" t="str">
        <f>+VLOOKUP($G3,$K$2:$M$15,2,FALSE)&amp;$H$3</f>
        <v>1DORA1400</v>
      </c>
      <c r="K3" s="107" t="s">
        <v>23</v>
      </c>
      <c r="L3" s="115">
        <v>1</v>
      </c>
      <c r="M3" s="115" t="s">
        <v>140</v>
      </c>
    </row>
    <row r="4" spans="1:13" ht="25.2" customHeight="1" thickBot="1" x14ac:dyDescent="0.3">
      <c r="B4" s="210"/>
      <c r="C4" s="202"/>
      <c r="D4" s="202"/>
      <c r="E4" s="203" t="str">
        <f>+$F$7&amp;"-"&amp;$I3&amp;"-"&amp;2025</f>
        <v>170AC-1DORA1400-2025</v>
      </c>
      <c r="F4" s="203"/>
      <c r="G4" s="138">
        <f>+VLOOKUP($G3,$K$2:$M$15,2,FALSE)</f>
        <v>1</v>
      </c>
      <c r="H4" s="97"/>
      <c r="K4" s="107" t="s">
        <v>17</v>
      </c>
      <c r="L4" s="115">
        <v>2</v>
      </c>
      <c r="M4" s="115" t="s">
        <v>141</v>
      </c>
    </row>
    <row r="5" spans="1:13" ht="15.75" thickBot="1" x14ac:dyDescent="0.3">
      <c r="K5" s="107" t="s">
        <v>9</v>
      </c>
      <c r="L5" s="115">
        <v>3</v>
      </c>
      <c r="M5" s="115" t="s">
        <v>142</v>
      </c>
    </row>
    <row r="6" spans="1:13" ht="15.75" thickBot="1" x14ac:dyDescent="0.3">
      <c r="A6" s="189" t="s">
        <v>91</v>
      </c>
      <c r="B6" s="189"/>
      <c r="C6" s="189"/>
      <c r="D6" s="189"/>
      <c r="E6" s="189"/>
      <c r="F6" s="189"/>
      <c r="G6" s="98"/>
      <c r="H6" s="91" t="s">
        <v>131</v>
      </c>
      <c r="I6" s="106" t="s">
        <v>132</v>
      </c>
      <c r="K6" s="107" t="s">
        <v>14</v>
      </c>
      <c r="L6" s="115">
        <v>4</v>
      </c>
      <c r="M6" s="115" t="s">
        <v>143</v>
      </c>
    </row>
    <row r="7" spans="1:13" ht="29.95" customHeight="1" x14ac:dyDescent="0.25">
      <c r="B7" s="87" t="s">
        <v>92</v>
      </c>
      <c r="C7" s="204" t="s">
        <v>135</v>
      </c>
      <c r="D7" s="204"/>
      <c r="E7" s="87" t="s">
        <v>93</v>
      </c>
      <c r="F7" s="88" t="s">
        <v>138</v>
      </c>
      <c r="H7" s="91" t="s">
        <v>131</v>
      </c>
      <c r="I7" s="95">
        <f>+SUMIF($B$7:$B$442,$H$7,$E$7:$E$442)</f>
        <v>268.69799999999998</v>
      </c>
      <c r="K7" s="107" t="s">
        <v>21</v>
      </c>
      <c r="L7" s="115">
        <v>5</v>
      </c>
      <c r="M7" s="115" t="s">
        <v>144</v>
      </c>
    </row>
    <row r="8" spans="1:13" ht="29.95" customHeight="1" x14ac:dyDescent="0.25">
      <c r="B8" s="87" t="s">
        <v>94</v>
      </c>
      <c r="C8" s="204" t="s">
        <v>124</v>
      </c>
      <c r="D8" s="204"/>
      <c r="E8" s="87" t="s">
        <v>95</v>
      </c>
      <c r="F8" s="88" t="s">
        <v>23</v>
      </c>
      <c r="K8" s="107" t="s">
        <v>20</v>
      </c>
      <c r="L8" s="115">
        <v>6</v>
      </c>
      <c r="M8" s="115" t="s">
        <v>145</v>
      </c>
    </row>
    <row r="9" spans="1:13" ht="29.95" customHeight="1" x14ac:dyDescent="0.25">
      <c r="B9" s="87" t="s">
        <v>96</v>
      </c>
      <c r="C9" s="208" t="s">
        <v>136</v>
      </c>
      <c r="D9" s="208"/>
      <c r="E9" s="87" t="s">
        <v>97</v>
      </c>
      <c r="F9" s="114" t="s">
        <v>125</v>
      </c>
      <c r="K9" s="107" t="s">
        <v>67</v>
      </c>
      <c r="L9" s="115">
        <v>7</v>
      </c>
      <c r="M9" s="115" t="s">
        <v>146</v>
      </c>
    </row>
    <row r="10" spans="1:13" ht="29.95" customHeight="1" x14ac:dyDescent="0.25">
      <c r="B10" s="87" t="s">
        <v>98</v>
      </c>
      <c r="C10" s="191"/>
      <c r="D10" s="191"/>
      <c r="E10" s="87" t="s">
        <v>99</v>
      </c>
      <c r="F10" s="110"/>
      <c r="K10" s="107" t="s">
        <v>32</v>
      </c>
      <c r="L10" s="115">
        <v>8</v>
      </c>
      <c r="M10" s="115" t="s">
        <v>147</v>
      </c>
    </row>
    <row r="11" spans="1:13" x14ac:dyDescent="0.25">
      <c r="I11" s="105"/>
      <c r="K11" s="107" t="s">
        <v>33</v>
      </c>
      <c r="L11" s="115">
        <v>9</v>
      </c>
      <c r="M11" s="115" t="s">
        <v>148</v>
      </c>
    </row>
    <row r="12" spans="1:13" x14ac:dyDescent="0.25">
      <c r="K12" s="107" t="s">
        <v>38</v>
      </c>
      <c r="L12" s="115">
        <v>10</v>
      </c>
      <c r="M12" s="115" t="s">
        <v>149</v>
      </c>
    </row>
    <row r="13" spans="1:13" x14ac:dyDescent="0.25">
      <c r="A13" s="189" t="s">
        <v>100</v>
      </c>
      <c r="B13" s="189"/>
      <c r="C13" s="189"/>
      <c r="D13" s="189"/>
      <c r="E13" s="192"/>
      <c r="F13" s="192"/>
      <c r="G13" s="98"/>
      <c r="H13" s="98"/>
      <c r="K13" s="107" t="s">
        <v>43</v>
      </c>
      <c r="L13" s="115">
        <v>11</v>
      </c>
      <c r="M13" s="115" t="s">
        <v>150</v>
      </c>
    </row>
    <row r="14" spans="1:13" ht="30.15" x14ac:dyDescent="0.25">
      <c r="A14" s="87" t="s">
        <v>101</v>
      </c>
      <c r="B14" s="89" t="s">
        <v>102</v>
      </c>
      <c r="C14" s="89" t="s">
        <v>133</v>
      </c>
      <c r="D14" s="89" t="s">
        <v>104</v>
      </c>
      <c r="E14" s="89" t="s">
        <v>105</v>
      </c>
      <c r="F14" s="89" t="s">
        <v>106</v>
      </c>
      <c r="G14" s="99"/>
      <c r="H14" s="99"/>
      <c r="K14" s="107" t="s">
        <v>45</v>
      </c>
      <c r="L14" s="115">
        <v>12</v>
      </c>
      <c r="M14" s="115" t="s">
        <v>155</v>
      </c>
    </row>
    <row r="15" spans="1:13" ht="20.149999999999999" customHeight="1" x14ac:dyDescent="0.25">
      <c r="A15" s="90">
        <v>1</v>
      </c>
      <c r="B15" s="91" t="s">
        <v>131</v>
      </c>
      <c r="C15" s="88" t="str">
        <f>+$I$6</f>
        <v>Pechuga</v>
      </c>
      <c r="D15" s="91"/>
      <c r="E15" s="88">
        <f>+VLOOKUP($G4,CÁRNICOS!$BW$85:$CA$103,5,FALSE)</f>
        <v>73.085999999999984</v>
      </c>
      <c r="F15" s="92"/>
      <c r="G15" s="100"/>
      <c r="H15" s="100"/>
      <c r="K15" s="107" t="s">
        <v>151</v>
      </c>
      <c r="L15" s="115">
        <v>13</v>
      </c>
      <c r="M15" s="115" t="s">
        <v>152</v>
      </c>
    </row>
    <row r="16" spans="1:13" ht="20.149999999999999" customHeight="1" x14ac:dyDescent="0.25">
      <c r="A16" s="90">
        <v>2</v>
      </c>
      <c r="B16" s="91" t="s">
        <v>108</v>
      </c>
      <c r="C16" s="91"/>
      <c r="D16" s="91"/>
      <c r="E16" s="91"/>
      <c r="F16" s="91"/>
      <c r="G16" s="100"/>
      <c r="H16" s="100"/>
    </row>
    <row r="18" spans="1:8" x14ac:dyDescent="0.25">
      <c r="A18" s="189" t="s">
        <v>109</v>
      </c>
      <c r="B18" s="189"/>
      <c r="C18" s="189"/>
      <c r="D18" s="189"/>
      <c r="E18" s="192"/>
      <c r="F18" s="192"/>
      <c r="G18" s="98"/>
      <c r="H18" s="98"/>
    </row>
    <row r="19" spans="1:8" ht="25.2" customHeight="1" x14ac:dyDescent="0.25">
      <c r="B19" s="87" t="s">
        <v>110</v>
      </c>
      <c r="C19" s="92"/>
      <c r="D19" s="87" t="s">
        <v>111</v>
      </c>
      <c r="E19" s="206"/>
      <c r="F19" s="206"/>
      <c r="G19" s="101"/>
      <c r="H19" s="101"/>
    </row>
    <row r="20" spans="1:8" ht="25.2" customHeight="1" x14ac:dyDescent="0.25">
      <c r="B20" s="87" t="s">
        <v>112</v>
      </c>
      <c r="C20" s="92"/>
      <c r="D20" s="87" t="s">
        <v>113</v>
      </c>
      <c r="E20" s="206"/>
      <c r="F20" s="206"/>
      <c r="G20" s="101"/>
      <c r="H20" s="101"/>
    </row>
    <row r="21" spans="1:8" ht="25.2" customHeight="1" x14ac:dyDescent="0.25">
      <c r="D21" s="87" t="s">
        <v>97</v>
      </c>
      <c r="E21" s="207"/>
      <c r="F21" s="207"/>
      <c r="G21" s="102"/>
      <c r="H21" s="102"/>
    </row>
    <row r="22" spans="1:8" ht="25.2" customHeight="1" x14ac:dyDescent="0.25">
      <c r="B22" s="87" t="s">
        <v>114</v>
      </c>
      <c r="C22" s="191"/>
      <c r="D22" s="191"/>
      <c r="E22" s="93" t="s">
        <v>115</v>
      </c>
      <c r="F22" s="113"/>
    </row>
    <row r="24" spans="1:8" x14ac:dyDescent="0.25">
      <c r="A24" s="189" t="s">
        <v>116</v>
      </c>
      <c r="B24" s="189"/>
      <c r="C24" s="189"/>
      <c r="D24" s="189"/>
      <c r="E24" s="189"/>
      <c r="F24" s="189"/>
      <c r="G24" s="98"/>
      <c r="H24" s="98"/>
    </row>
    <row r="25" spans="1:8" ht="25.2" customHeight="1" x14ac:dyDescent="0.25">
      <c r="B25" s="93" t="s">
        <v>94</v>
      </c>
      <c r="C25" s="96" t="s">
        <v>124</v>
      </c>
      <c r="D25" s="87" t="s">
        <v>117</v>
      </c>
      <c r="E25" s="190"/>
      <c r="F25" s="190"/>
      <c r="G25" s="103"/>
      <c r="H25" s="103"/>
    </row>
    <row r="26" spans="1:8" ht="25.2" customHeight="1" x14ac:dyDescent="0.25">
      <c r="B26" s="93" t="s">
        <v>95</v>
      </c>
      <c r="C26" s="111" t="str">
        <f>+$G3</f>
        <v>LA DORADA</v>
      </c>
      <c r="D26" s="87" t="s">
        <v>118</v>
      </c>
      <c r="E26" s="190"/>
      <c r="F26" s="190"/>
      <c r="G26" s="103"/>
      <c r="H26" s="103"/>
    </row>
    <row r="27" spans="1:8" ht="25.2" customHeight="1" x14ac:dyDescent="0.25">
      <c r="B27" s="93" t="s">
        <v>119</v>
      </c>
      <c r="C27" s="112"/>
      <c r="D27" s="87" t="s">
        <v>153</v>
      </c>
      <c r="E27" s="205" t="str">
        <f>+VLOOKUP($G3,$K$2:$M$15,3,FALSE)</f>
        <v>CRA 11 # 17-19 EL CABRERO</v>
      </c>
      <c r="F27" s="205"/>
    </row>
    <row r="28" spans="1:8" ht="25.2" customHeight="1" x14ac:dyDescent="0.25">
      <c r="B28" s="93" t="s">
        <v>120</v>
      </c>
      <c r="C28" s="112"/>
    </row>
    <row r="30" spans="1:8" x14ac:dyDescent="0.25">
      <c r="A30" s="189" t="s">
        <v>121</v>
      </c>
      <c r="B30" s="189"/>
      <c r="C30" s="192"/>
      <c r="D30" s="192"/>
      <c r="E30" s="192"/>
      <c r="F30" s="189"/>
      <c r="G30" s="98"/>
      <c r="H30" s="98"/>
    </row>
    <row r="31" spans="1:8" ht="25.2" customHeight="1" x14ac:dyDescent="0.25">
      <c r="B31" s="93" t="s">
        <v>158</v>
      </c>
      <c r="C31" s="193" t="s">
        <v>171</v>
      </c>
      <c r="D31" s="194"/>
      <c r="E31" s="195"/>
    </row>
    <row r="32" spans="1:8" ht="25.2" customHeight="1" x14ac:dyDescent="0.25">
      <c r="B32" s="87" t="s">
        <v>113</v>
      </c>
      <c r="C32" s="199">
        <v>1298501</v>
      </c>
      <c r="D32" s="194"/>
      <c r="E32" s="195"/>
    </row>
    <row r="33" spans="1:9" ht="25.2" customHeight="1" x14ac:dyDescent="0.25">
      <c r="B33" s="87" t="s">
        <v>122</v>
      </c>
      <c r="C33" s="193" t="s">
        <v>159</v>
      </c>
      <c r="D33" s="194"/>
      <c r="E33" s="195"/>
    </row>
    <row r="34" spans="1:9" ht="25.2" customHeight="1" x14ac:dyDescent="0.25">
      <c r="B34" s="87" t="s">
        <v>123</v>
      </c>
      <c r="C34" s="196"/>
      <c r="D34" s="197"/>
      <c r="E34" s="198"/>
    </row>
    <row r="36" spans="1:9" ht="15.75" thickBot="1" x14ac:dyDescent="0.3">
      <c r="I36" s="95" t="s">
        <v>88</v>
      </c>
    </row>
    <row r="37" spans="1:9" ht="23.4" customHeight="1" thickBot="1" x14ac:dyDescent="0.3">
      <c r="B37" s="209" t="str">
        <f>+$B$3</f>
        <v>CÓDIGO INVIMA: 170AC</v>
      </c>
      <c r="C37" s="200" t="s">
        <v>89</v>
      </c>
      <c r="D37" s="200"/>
      <c r="E37" s="201" t="s">
        <v>90</v>
      </c>
      <c r="F37" s="201"/>
      <c r="G37" s="94" t="s">
        <v>17</v>
      </c>
      <c r="H37" s="109" t="str">
        <f>+$H$3</f>
        <v>DORA1400</v>
      </c>
      <c r="I37" s="108" t="str">
        <f>+VLOOKUP($G37,$K$2:$M$15,2,FALSE)&amp;$H$3</f>
        <v>2DORA1400</v>
      </c>
    </row>
    <row r="38" spans="1:9" ht="25.2" customHeight="1" thickBot="1" x14ac:dyDescent="0.3">
      <c r="B38" s="210"/>
      <c r="C38" s="202"/>
      <c r="D38" s="202"/>
      <c r="E38" s="203" t="str">
        <f>+$F$7&amp;"-"&amp;$I37&amp;"-"&amp;2025</f>
        <v>170AC-2DORA1400-2025</v>
      </c>
      <c r="F38" s="203"/>
      <c r="G38" s="138">
        <f>+VLOOKUP($G37,$K$2:$M$15,2,FALSE)</f>
        <v>2</v>
      </c>
      <c r="H38" s="97"/>
    </row>
    <row r="40" spans="1:9" x14ac:dyDescent="0.25">
      <c r="A40" s="189" t="s">
        <v>91</v>
      </c>
      <c r="B40" s="189"/>
      <c r="C40" s="189"/>
      <c r="D40" s="189"/>
      <c r="E40" s="189"/>
      <c r="F40" s="189"/>
      <c r="G40" s="98"/>
      <c r="H40" s="98"/>
    </row>
    <row r="41" spans="1:9" ht="29.95" customHeight="1" x14ac:dyDescent="0.25">
      <c r="B41" s="87" t="s">
        <v>92</v>
      </c>
      <c r="C41" s="204" t="s">
        <v>135</v>
      </c>
      <c r="D41" s="204"/>
      <c r="E41" s="87" t="s">
        <v>93</v>
      </c>
      <c r="F41" s="88" t="s">
        <v>138</v>
      </c>
    </row>
    <row r="42" spans="1:9" ht="29.95" customHeight="1" x14ac:dyDescent="0.25">
      <c r="B42" s="87" t="s">
        <v>94</v>
      </c>
      <c r="C42" s="204" t="s">
        <v>124</v>
      </c>
      <c r="D42" s="204"/>
      <c r="E42" s="87" t="s">
        <v>95</v>
      </c>
      <c r="F42" s="88" t="s">
        <v>23</v>
      </c>
    </row>
    <row r="43" spans="1:9" ht="29.95" customHeight="1" x14ac:dyDescent="0.25">
      <c r="B43" s="87" t="s">
        <v>96</v>
      </c>
      <c r="C43" s="208" t="s">
        <v>136</v>
      </c>
      <c r="D43" s="208"/>
      <c r="E43" s="87" t="s">
        <v>97</v>
      </c>
      <c r="F43" s="114" t="s">
        <v>125</v>
      </c>
    </row>
    <row r="44" spans="1:9" ht="29.95" customHeight="1" x14ac:dyDescent="0.25">
      <c r="B44" s="87" t="s">
        <v>98</v>
      </c>
      <c r="C44" s="191"/>
      <c r="D44" s="191"/>
      <c r="E44" s="87" t="s">
        <v>99</v>
      </c>
      <c r="F44" s="110"/>
    </row>
    <row r="45" spans="1:9" x14ac:dyDescent="0.25">
      <c r="I45" s="105"/>
    </row>
    <row r="47" spans="1:9" x14ac:dyDescent="0.25">
      <c r="A47" s="189" t="s">
        <v>100</v>
      </c>
      <c r="B47" s="189"/>
      <c r="C47" s="189"/>
      <c r="D47" s="189"/>
      <c r="E47" s="192"/>
      <c r="F47" s="192"/>
      <c r="G47" s="98"/>
      <c r="H47" s="98"/>
    </row>
    <row r="48" spans="1:9" ht="30.15" x14ac:dyDescent="0.25">
      <c r="A48" s="87" t="s">
        <v>101</v>
      </c>
      <c r="B48" s="89" t="s">
        <v>102</v>
      </c>
      <c r="C48" s="89" t="s">
        <v>133</v>
      </c>
      <c r="D48" s="89" t="s">
        <v>104</v>
      </c>
      <c r="E48" s="89" t="s">
        <v>105</v>
      </c>
      <c r="F48" s="89" t="s">
        <v>106</v>
      </c>
      <c r="G48" s="99"/>
      <c r="H48" s="99"/>
    </row>
    <row r="49" spans="1:8" ht="20.149999999999999" customHeight="1" x14ac:dyDescent="0.25">
      <c r="A49" s="90">
        <v>1</v>
      </c>
      <c r="B49" s="91" t="s">
        <v>131</v>
      </c>
      <c r="C49" s="88" t="str">
        <f>+$I$6</f>
        <v>Pechuga</v>
      </c>
      <c r="D49" s="91"/>
      <c r="E49" s="88">
        <f>+VLOOKUP($G38,CÁRNICOS!$BW$85:$CA$103,5,FALSE)</f>
        <v>9.6</v>
      </c>
      <c r="F49" s="92"/>
      <c r="G49" s="100"/>
      <c r="H49" s="100"/>
    </row>
    <row r="50" spans="1:8" ht="20.149999999999999" customHeight="1" x14ac:dyDescent="0.25">
      <c r="A50" s="90">
        <v>2</v>
      </c>
      <c r="B50" s="91" t="s">
        <v>108</v>
      </c>
      <c r="C50" s="91"/>
      <c r="D50" s="91"/>
      <c r="E50" s="91"/>
      <c r="F50" s="91"/>
      <c r="G50" s="100"/>
      <c r="H50" s="100"/>
    </row>
    <row r="52" spans="1:8" x14ac:dyDescent="0.25">
      <c r="A52" s="189" t="s">
        <v>109</v>
      </c>
      <c r="B52" s="189"/>
      <c r="C52" s="189"/>
      <c r="D52" s="189"/>
      <c r="E52" s="192"/>
      <c r="F52" s="192"/>
      <c r="G52" s="98"/>
      <c r="H52" s="98"/>
    </row>
    <row r="53" spans="1:8" ht="25.2" customHeight="1" x14ac:dyDescent="0.25">
      <c r="B53" s="87" t="s">
        <v>110</v>
      </c>
      <c r="C53" s="92"/>
      <c r="D53" s="87" t="s">
        <v>111</v>
      </c>
      <c r="E53" s="206"/>
      <c r="F53" s="206"/>
      <c r="G53" s="101"/>
      <c r="H53" s="101"/>
    </row>
    <row r="54" spans="1:8" ht="25.2" customHeight="1" x14ac:dyDescent="0.25">
      <c r="B54" s="87" t="s">
        <v>112</v>
      </c>
      <c r="C54" s="92"/>
      <c r="D54" s="87" t="s">
        <v>113</v>
      </c>
      <c r="E54" s="206"/>
      <c r="F54" s="206"/>
      <c r="G54" s="101"/>
      <c r="H54" s="101"/>
    </row>
    <row r="55" spans="1:8" ht="25.2" customHeight="1" x14ac:dyDescent="0.25">
      <c r="D55" s="87" t="s">
        <v>97</v>
      </c>
      <c r="E55" s="207"/>
      <c r="F55" s="207"/>
      <c r="G55" s="102"/>
      <c r="H55" s="102"/>
    </row>
    <row r="56" spans="1:8" ht="25.2" customHeight="1" x14ac:dyDescent="0.25">
      <c r="B56" s="87" t="s">
        <v>114</v>
      </c>
      <c r="C56" s="191"/>
      <c r="D56" s="191"/>
      <c r="E56" s="93" t="s">
        <v>115</v>
      </c>
      <c r="F56" s="113"/>
    </row>
    <row r="58" spans="1:8" x14ac:dyDescent="0.25">
      <c r="A58" s="189" t="s">
        <v>116</v>
      </c>
      <c r="B58" s="189"/>
      <c r="C58" s="189"/>
      <c r="D58" s="189"/>
      <c r="E58" s="189"/>
      <c r="F58" s="189"/>
      <c r="G58" s="98"/>
      <c r="H58" s="98"/>
    </row>
    <row r="59" spans="1:8" ht="25.2" customHeight="1" x14ac:dyDescent="0.25">
      <c r="B59" s="93" t="s">
        <v>94</v>
      </c>
      <c r="C59" s="96" t="s">
        <v>124</v>
      </c>
      <c r="D59" s="87" t="s">
        <v>117</v>
      </c>
      <c r="E59" s="190"/>
      <c r="F59" s="190"/>
      <c r="G59" s="103"/>
      <c r="H59" s="103"/>
    </row>
    <row r="60" spans="1:8" ht="25.2" customHeight="1" x14ac:dyDescent="0.25">
      <c r="B60" s="93" t="s">
        <v>95</v>
      </c>
      <c r="C60" s="111" t="str">
        <f>+$G37</f>
        <v>NORCASIA</v>
      </c>
      <c r="D60" s="87" t="s">
        <v>118</v>
      </c>
      <c r="E60" s="190"/>
      <c r="F60" s="190"/>
      <c r="G60" s="103"/>
      <c r="H60" s="103"/>
    </row>
    <row r="61" spans="1:8" ht="25.2" customHeight="1" x14ac:dyDescent="0.25">
      <c r="B61" s="93" t="s">
        <v>119</v>
      </c>
      <c r="C61" s="112"/>
      <c r="D61" s="87" t="s">
        <v>153</v>
      </c>
      <c r="E61" s="205" t="str">
        <f>+VLOOKUP($G37,$K$2:$M$15,3,FALSE)</f>
        <v>CRA 5 # 14-12</v>
      </c>
      <c r="F61" s="205"/>
    </row>
    <row r="62" spans="1:8" ht="25.2" customHeight="1" x14ac:dyDescent="0.25">
      <c r="B62" s="93" t="s">
        <v>120</v>
      </c>
      <c r="C62" s="112"/>
    </row>
    <row r="64" spans="1:8" x14ac:dyDescent="0.25">
      <c r="A64" s="189" t="s">
        <v>121</v>
      </c>
      <c r="B64" s="189"/>
      <c r="C64" s="192"/>
      <c r="D64" s="192"/>
      <c r="E64" s="192"/>
      <c r="F64" s="189"/>
      <c r="G64" s="98"/>
      <c r="H64" s="98"/>
    </row>
    <row r="65" spans="1:9" ht="25.2" customHeight="1" x14ac:dyDescent="0.25">
      <c r="B65" s="93" t="s">
        <v>158</v>
      </c>
      <c r="C65" s="193" t="s">
        <v>171</v>
      </c>
      <c r="D65" s="194"/>
      <c r="E65" s="195"/>
    </row>
    <row r="66" spans="1:9" ht="25.2" customHeight="1" x14ac:dyDescent="0.25">
      <c r="B66" s="87" t="s">
        <v>113</v>
      </c>
      <c r="C66" s="199">
        <v>1298501</v>
      </c>
      <c r="D66" s="194"/>
      <c r="E66" s="195"/>
    </row>
    <row r="67" spans="1:9" ht="25.2" customHeight="1" x14ac:dyDescent="0.25">
      <c r="B67" s="87" t="s">
        <v>122</v>
      </c>
      <c r="C67" s="193" t="s">
        <v>159</v>
      </c>
      <c r="D67" s="194"/>
      <c r="E67" s="195"/>
    </row>
    <row r="68" spans="1:9" ht="25.2" customHeight="1" x14ac:dyDescent="0.25">
      <c r="B68" s="87" t="s">
        <v>123</v>
      </c>
      <c r="C68" s="196"/>
      <c r="D68" s="197"/>
      <c r="E68" s="198"/>
    </row>
    <row r="70" spans="1:9" ht="15.75" thickBot="1" x14ac:dyDescent="0.3">
      <c r="I70" s="95" t="s">
        <v>88</v>
      </c>
    </row>
    <row r="71" spans="1:9" ht="23.4" customHeight="1" thickBot="1" x14ac:dyDescent="0.3">
      <c r="B71" s="209" t="str">
        <f>+$B$3</f>
        <v>CÓDIGO INVIMA: 170AC</v>
      </c>
      <c r="C71" s="200" t="s">
        <v>89</v>
      </c>
      <c r="D71" s="200"/>
      <c r="E71" s="201" t="s">
        <v>90</v>
      </c>
      <c r="F71" s="201"/>
      <c r="G71" s="94" t="s">
        <v>9</v>
      </c>
      <c r="H71" s="109" t="str">
        <f>+$H$3</f>
        <v>DORA1400</v>
      </c>
      <c r="I71" s="108" t="str">
        <f>+VLOOKUP($G71,$K$2:$M$15,2,FALSE)&amp;$H$3</f>
        <v>3DORA1400</v>
      </c>
    </row>
    <row r="72" spans="1:9" ht="25.2" customHeight="1" thickBot="1" x14ac:dyDescent="0.3">
      <c r="B72" s="210"/>
      <c r="C72" s="202"/>
      <c r="D72" s="202"/>
      <c r="E72" s="203" t="str">
        <f>+$F$7&amp;"-"&amp;$I71&amp;"-"&amp;2025</f>
        <v>170AC-3DORA1400-2025</v>
      </c>
      <c r="F72" s="203"/>
      <c r="G72" s="138">
        <f>+VLOOKUP($G71,$K$2:$M$15,2,FALSE)</f>
        <v>3</v>
      </c>
      <c r="H72" s="97"/>
    </row>
    <row r="74" spans="1:9" x14ac:dyDescent="0.25">
      <c r="A74" s="189" t="s">
        <v>91</v>
      </c>
      <c r="B74" s="189"/>
      <c r="C74" s="189"/>
      <c r="D74" s="189"/>
      <c r="E74" s="189"/>
      <c r="F74" s="189"/>
      <c r="G74" s="98"/>
      <c r="H74" s="98"/>
    </row>
    <row r="75" spans="1:9" ht="29.95" customHeight="1" x14ac:dyDescent="0.25">
      <c r="B75" s="87" t="s">
        <v>92</v>
      </c>
      <c r="C75" s="204" t="s">
        <v>135</v>
      </c>
      <c r="D75" s="204"/>
      <c r="E75" s="87" t="s">
        <v>93</v>
      </c>
      <c r="F75" s="88" t="s">
        <v>138</v>
      </c>
    </row>
    <row r="76" spans="1:9" ht="29.95" customHeight="1" x14ac:dyDescent="0.25">
      <c r="B76" s="87" t="s">
        <v>94</v>
      </c>
      <c r="C76" s="204" t="s">
        <v>124</v>
      </c>
      <c r="D76" s="204"/>
      <c r="E76" s="87" t="s">
        <v>95</v>
      </c>
      <c r="F76" s="88" t="s">
        <v>23</v>
      </c>
    </row>
    <row r="77" spans="1:9" ht="29.95" customHeight="1" x14ac:dyDescent="0.25">
      <c r="B77" s="87" t="s">
        <v>96</v>
      </c>
      <c r="C77" s="208" t="s">
        <v>136</v>
      </c>
      <c r="D77" s="208"/>
      <c r="E77" s="87" t="s">
        <v>97</v>
      </c>
      <c r="F77" s="114" t="s">
        <v>125</v>
      </c>
    </row>
    <row r="78" spans="1:9" ht="29.95" customHeight="1" x14ac:dyDescent="0.25">
      <c r="B78" s="87" t="s">
        <v>98</v>
      </c>
      <c r="C78" s="191"/>
      <c r="D78" s="191"/>
      <c r="E78" s="87" t="s">
        <v>99</v>
      </c>
      <c r="F78" s="110"/>
    </row>
    <row r="79" spans="1:9" x14ac:dyDescent="0.25">
      <c r="I79" s="105"/>
    </row>
    <row r="81" spans="1:8" x14ac:dyDescent="0.25">
      <c r="A81" s="189" t="s">
        <v>100</v>
      </c>
      <c r="B81" s="189"/>
      <c r="C81" s="189"/>
      <c r="D81" s="189"/>
      <c r="E81" s="192"/>
      <c r="F81" s="192"/>
      <c r="G81" s="98"/>
      <c r="H81" s="98"/>
    </row>
    <row r="82" spans="1:8" ht="30.15" x14ac:dyDescent="0.25">
      <c r="A82" s="87" t="s">
        <v>101</v>
      </c>
      <c r="B82" s="89" t="s">
        <v>102</v>
      </c>
      <c r="C82" s="89" t="s">
        <v>133</v>
      </c>
      <c r="D82" s="89" t="s">
        <v>104</v>
      </c>
      <c r="E82" s="89" t="s">
        <v>105</v>
      </c>
      <c r="F82" s="89" t="s">
        <v>106</v>
      </c>
      <c r="G82" s="99"/>
      <c r="H82" s="99"/>
    </row>
    <row r="83" spans="1:8" ht="20.149999999999999" customHeight="1" x14ac:dyDescent="0.25">
      <c r="A83" s="90">
        <v>1</v>
      </c>
      <c r="B83" s="91" t="s">
        <v>131</v>
      </c>
      <c r="C83" s="88" t="str">
        <f>+$I$6</f>
        <v>Pechuga</v>
      </c>
      <c r="D83" s="91"/>
      <c r="E83" s="88">
        <f>+VLOOKUP($G72,CÁRNICOS!$BW$85:$CA$103,5,FALSE)</f>
        <v>8.4830000000000005</v>
      </c>
      <c r="F83" s="92"/>
      <c r="G83" s="100"/>
      <c r="H83" s="100"/>
    </row>
    <row r="84" spans="1:8" ht="20.149999999999999" customHeight="1" x14ac:dyDescent="0.25">
      <c r="A84" s="90">
        <v>2</v>
      </c>
      <c r="B84" s="91" t="s">
        <v>108</v>
      </c>
      <c r="C84" s="91"/>
      <c r="D84" s="91"/>
      <c r="E84" s="91"/>
      <c r="F84" s="91"/>
      <c r="G84" s="100"/>
      <c r="H84" s="100"/>
    </row>
    <row r="86" spans="1:8" x14ac:dyDescent="0.25">
      <c r="A86" s="189" t="s">
        <v>109</v>
      </c>
      <c r="B86" s="189"/>
      <c r="C86" s="189"/>
      <c r="D86" s="189"/>
      <c r="E86" s="192"/>
      <c r="F86" s="192"/>
      <c r="G86" s="98"/>
      <c r="H86" s="98"/>
    </row>
    <row r="87" spans="1:8" ht="25.2" customHeight="1" x14ac:dyDescent="0.25">
      <c r="B87" s="87" t="s">
        <v>110</v>
      </c>
      <c r="C87" s="92"/>
      <c r="D87" s="87" t="s">
        <v>111</v>
      </c>
      <c r="E87" s="206"/>
      <c r="F87" s="206"/>
      <c r="G87" s="101"/>
      <c r="H87" s="101"/>
    </row>
    <row r="88" spans="1:8" ht="25.2" customHeight="1" x14ac:dyDescent="0.25">
      <c r="B88" s="87" t="s">
        <v>112</v>
      </c>
      <c r="C88" s="92"/>
      <c r="D88" s="87" t="s">
        <v>113</v>
      </c>
      <c r="E88" s="206"/>
      <c r="F88" s="206"/>
      <c r="G88" s="101"/>
      <c r="H88" s="101"/>
    </row>
    <row r="89" spans="1:8" ht="25.2" customHeight="1" x14ac:dyDescent="0.25">
      <c r="D89" s="87" t="s">
        <v>97</v>
      </c>
      <c r="E89" s="207"/>
      <c r="F89" s="207"/>
      <c r="G89" s="102"/>
      <c r="H89" s="102"/>
    </row>
    <row r="90" spans="1:8" ht="25.2" customHeight="1" x14ac:dyDescent="0.25">
      <c r="B90" s="87" t="s">
        <v>114</v>
      </c>
      <c r="C90" s="191"/>
      <c r="D90" s="191"/>
      <c r="E90" s="93" t="s">
        <v>115</v>
      </c>
      <c r="F90" s="113"/>
    </row>
    <row r="92" spans="1:8" x14ac:dyDescent="0.25">
      <c r="A92" s="189" t="s">
        <v>116</v>
      </c>
      <c r="B92" s="189"/>
      <c r="C92" s="189"/>
      <c r="D92" s="189"/>
      <c r="E92" s="189"/>
      <c r="F92" s="189"/>
      <c r="G92" s="98"/>
      <c r="H92" s="98"/>
    </row>
    <row r="93" spans="1:8" ht="25.2" customHeight="1" x14ac:dyDescent="0.25">
      <c r="B93" s="93" t="s">
        <v>94</v>
      </c>
      <c r="C93" s="96" t="s">
        <v>124</v>
      </c>
      <c r="D93" s="87" t="s">
        <v>117</v>
      </c>
      <c r="E93" s="190"/>
      <c r="F93" s="190"/>
      <c r="G93" s="103"/>
      <c r="H93" s="103"/>
    </row>
    <row r="94" spans="1:8" ht="25.2" customHeight="1" x14ac:dyDescent="0.25">
      <c r="B94" s="93" t="s">
        <v>95</v>
      </c>
      <c r="C94" s="111" t="str">
        <f>+$G71</f>
        <v>SAMANÁ</v>
      </c>
      <c r="D94" s="87" t="s">
        <v>118</v>
      </c>
      <c r="E94" s="190"/>
      <c r="F94" s="190"/>
      <c r="G94" s="103"/>
      <c r="H94" s="103"/>
    </row>
    <row r="95" spans="1:8" ht="25.2" customHeight="1" x14ac:dyDescent="0.25">
      <c r="B95" s="93" t="s">
        <v>119</v>
      </c>
      <c r="C95" s="112"/>
      <c r="D95" s="87" t="s">
        <v>153</v>
      </c>
      <c r="E95" s="205" t="str">
        <f>+VLOOKUP($G71,$K$2:$M$15,3,FALSE)</f>
        <v>CALLE 7 # 6-17</v>
      </c>
      <c r="F95" s="205"/>
    </row>
    <row r="96" spans="1:8" ht="25.2" customHeight="1" x14ac:dyDescent="0.25">
      <c r="B96" s="93" t="s">
        <v>120</v>
      </c>
      <c r="C96" s="112"/>
    </row>
    <row r="98" spans="1:9" x14ac:dyDescent="0.25">
      <c r="A98" s="189" t="s">
        <v>121</v>
      </c>
      <c r="B98" s="189"/>
      <c r="C98" s="192"/>
      <c r="D98" s="192"/>
      <c r="E98" s="192"/>
      <c r="F98" s="189"/>
      <c r="G98" s="98"/>
      <c r="H98" s="98"/>
    </row>
    <row r="99" spans="1:9" ht="25.2" customHeight="1" x14ac:dyDescent="0.25">
      <c r="B99" s="93" t="s">
        <v>158</v>
      </c>
      <c r="C99" s="193" t="s">
        <v>171</v>
      </c>
      <c r="D99" s="194"/>
      <c r="E99" s="195"/>
    </row>
    <row r="100" spans="1:9" ht="25.2" customHeight="1" x14ac:dyDescent="0.25">
      <c r="B100" s="87" t="s">
        <v>113</v>
      </c>
      <c r="C100" s="199">
        <v>1298501</v>
      </c>
      <c r="D100" s="194"/>
      <c r="E100" s="195"/>
    </row>
    <row r="101" spans="1:9" ht="25.2" customHeight="1" x14ac:dyDescent="0.25">
      <c r="B101" s="87" t="s">
        <v>122</v>
      </c>
      <c r="C101" s="193" t="s">
        <v>159</v>
      </c>
      <c r="D101" s="194"/>
      <c r="E101" s="195"/>
    </row>
    <row r="102" spans="1:9" ht="25.2" customHeight="1" x14ac:dyDescent="0.25">
      <c r="B102" s="87" t="s">
        <v>123</v>
      </c>
      <c r="C102" s="196"/>
      <c r="D102" s="197"/>
      <c r="E102" s="198"/>
    </row>
    <row r="104" spans="1:9" ht="15.75" thickBot="1" x14ac:dyDescent="0.3">
      <c r="I104" s="95" t="s">
        <v>88</v>
      </c>
    </row>
    <row r="105" spans="1:9" ht="23.4" customHeight="1" thickBot="1" x14ac:dyDescent="0.3">
      <c r="B105" s="209" t="str">
        <f>+$B$3</f>
        <v>CÓDIGO INVIMA: 170AC</v>
      </c>
      <c r="C105" s="200" t="s">
        <v>89</v>
      </c>
      <c r="D105" s="200"/>
      <c r="E105" s="201" t="s">
        <v>90</v>
      </c>
      <c r="F105" s="201"/>
      <c r="G105" s="94" t="s">
        <v>14</v>
      </c>
      <c r="H105" s="109" t="str">
        <f>+$H$3</f>
        <v>DORA1400</v>
      </c>
      <c r="I105" s="108" t="str">
        <f>+VLOOKUP($G105,$K$2:$M$15,2,FALSE)&amp;$H$3</f>
        <v>4DORA1400</v>
      </c>
    </row>
    <row r="106" spans="1:9" ht="25.2" customHeight="1" thickBot="1" x14ac:dyDescent="0.3">
      <c r="B106" s="210"/>
      <c r="C106" s="202"/>
      <c r="D106" s="202"/>
      <c r="E106" s="203" t="str">
        <f>+$F$7&amp;"-"&amp;$I105&amp;"-"&amp;2025</f>
        <v>170AC-4DORA1400-2025</v>
      </c>
      <c r="F106" s="203"/>
      <c r="G106" s="138">
        <f>+VLOOKUP($G105,$K$2:$M$15,2,FALSE)</f>
        <v>4</v>
      </c>
      <c r="H106" s="97"/>
    </row>
    <row r="108" spans="1:9" x14ac:dyDescent="0.25">
      <c r="A108" s="189" t="s">
        <v>91</v>
      </c>
      <c r="B108" s="189"/>
      <c r="C108" s="189"/>
      <c r="D108" s="189"/>
      <c r="E108" s="189"/>
      <c r="F108" s="189"/>
      <c r="G108" s="98"/>
      <c r="H108" s="98"/>
    </row>
    <row r="109" spans="1:9" ht="29.95" customHeight="1" x14ac:dyDescent="0.25">
      <c r="B109" s="87" t="s">
        <v>92</v>
      </c>
      <c r="C109" s="204" t="s">
        <v>135</v>
      </c>
      <c r="D109" s="204"/>
      <c r="E109" s="87" t="s">
        <v>93</v>
      </c>
      <c r="F109" s="88" t="s">
        <v>138</v>
      </c>
    </row>
    <row r="110" spans="1:9" ht="29.95" customHeight="1" x14ac:dyDescent="0.25">
      <c r="B110" s="87" t="s">
        <v>94</v>
      </c>
      <c r="C110" s="204" t="s">
        <v>124</v>
      </c>
      <c r="D110" s="204"/>
      <c r="E110" s="87" t="s">
        <v>95</v>
      </c>
      <c r="F110" s="88" t="s">
        <v>23</v>
      </c>
    </row>
    <row r="111" spans="1:9" ht="29.95" customHeight="1" x14ac:dyDescent="0.25">
      <c r="B111" s="87" t="s">
        <v>96</v>
      </c>
      <c r="C111" s="208" t="s">
        <v>136</v>
      </c>
      <c r="D111" s="208"/>
      <c r="E111" s="87" t="s">
        <v>97</v>
      </c>
      <c r="F111" s="114" t="s">
        <v>125</v>
      </c>
    </row>
    <row r="112" spans="1:9" ht="29.95" customHeight="1" x14ac:dyDescent="0.25">
      <c r="B112" s="87" t="s">
        <v>98</v>
      </c>
      <c r="C112" s="191"/>
      <c r="D112" s="191"/>
      <c r="E112" s="87" t="s">
        <v>99</v>
      </c>
      <c r="F112" s="110"/>
    </row>
    <row r="113" spans="1:9" x14ac:dyDescent="0.25">
      <c r="I113" s="105"/>
    </row>
    <row r="115" spans="1:9" x14ac:dyDescent="0.25">
      <c r="A115" s="189" t="s">
        <v>100</v>
      </c>
      <c r="B115" s="189"/>
      <c r="C115" s="189"/>
      <c r="D115" s="189"/>
      <c r="E115" s="192"/>
      <c r="F115" s="192"/>
      <c r="G115" s="98"/>
      <c r="H115" s="98"/>
    </row>
    <row r="116" spans="1:9" ht="30.15" x14ac:dyDescent="0.25">
      <c r="A116" s="87" t="s">
        <v>101</v>
      </c>
      <c r="B116" s="89" t="s">
        <v>102</v>
      </c>
      <c r="C116" s="89" t="s">
        <v>133</v>
      </c>
      <c r="D116" s="89" t="s">
        <v>104</v>
      </c>
      <c r="E116" s="89" t="s">
        <v>105</v>
      </c>
      <c r="F116" s="89" t="s">
        <v>106</v>
      </c>
      <c r="G116" s="99"/>
      <c r="H116" s="99"/>
    </row>
    <row r="117" spans="1:9" ht="20.149999999999999" customHeight="1" x14ac:dyDescent="0.25">
      <c r="A117" s="90">
        <v>1</v>
      </c>
      <c r="B117" s="91" t="s">
        <v>131</v>
      </c>
      <c r="C117" s="88" t="str">
        <f>+$I$6</f>
        <v>Pechuga</v>
      </c>
      <c r="D117" s="91"/>
      <c r="E117" s="88">
        <f>+VLOOKUP($G106,CÁRNICOS!$BW$85:$CA$103,5,FALSE)</f>
        <v>10.43</v>
      </c>
      <c r="F117" s="92"/>
      <c r="G117" s="100"/>
      <c r="H117" s="100"/>
    </row>
    <row r="118" spans="1:9" ht="20.149999999999999" customHeight="1" x14ac:dyDescent="0.25">
      <c r="A118" s="90">
        <v>2</v>
      </c>
      <c r="B118" s="91" t="s">
        <v>108</v>
      </c>
      <c r="C118" s="91"/>
      <c r="D118" s="91"/>
      <c r="E118" s="91"/>
      <c r="F118" s="91"/>
      <c r="G118" s="100"/>
      <c r="H118" s="100"/>
    </row>
    <row r="120" spans="1:9" x14ac:dyDescent="0.25">
      <c r="A120" s="189" t="s">
        <v>109</v>
      </c>
      <c r="B120" s="189"/>
      <c r="C120" s="189"/>
      <c r="D120" s="189"/>
      <c r="E120" s="192"/>
      <c r="F120" s="192"/>
      <c r="G120" s="98"/>
      <c r="H120" s="98"/>
    </row>
    <row r="121" spans="1:9" ht="25.2" customHeight="1" x14ac:dyDescent="0.25">
      <c r="B121" s="87" t="s">
        <v>110</v>
      </c>
      <c r="C121" s="92"/>
      <c r="D121" s="87" t="s">
        <v>111</v>
      </c>
      <c r="E121" s="206"/>
      <c r="F121" s="206"/>
      <c r="G121" s="101"/>
      <c r="H121" s="101"/>
    </row>
    <row r="122" spans="1:9" ht="25.2" customHeight="1" x14ac:dyDescent="0.25">
      <c r="B122" s="87" t="s">
        <v>112</v>
      </c>
      <c r="C122" s="92"/>
      <c r="D122" s="87" t="s">
        <v>113</v>
      </c>
      <c r="E122" s="206"/>
      <c r="F122" s="206"/>
      <c r="G122" s="101"/>
      <c r="H122" s="101"/>
    </row>
    <row r="123" spans="1:9" ht="25.2" customHeight="1" x14ac:dyDescent="0.25">
      <c r="D123" s="87" t="s">
        <v>97</v>
      </c>
      <c r="E123" s="207"/>
      <c r="F123" s="207"/>
      <c r="G123" s="102"/>
      <c r="H123" s="102"/>
    </row>
    <row r="124" spans="1:9" ht="25.2" customHeight="1" x14ac:dyDescent="0.25">
      <c r="B124" s="87" t="s">
        <v>114</v>
      </c>
      <c r="C124" s="191"/>
      <c r="D124" s="191"/>
      <c r="E124" s="93" t="s">
        <v>115</v>
      </c>
      <c r="F124" s="113"/>
    </row>
    <row r="126" spans="1:9" x14ac:dyDescent="0.25">
      <c r="A126" s="189" t="s">
        <v>116</v>
      </c>
      <c r="B126" s="189"/>
      <c r="C126" s="189"/>
      <c r="D126" s="189"/>
      <c r="E126" s="189"/>
      <c r="F126" s="189"/>
      <c r="G126" s="98"/>
      <c r="H126" s="98"/>
    </row>
    <row r="127" spans="1:9" ht="25.2" customHeight="1" x14ac:dyDescent="0.25">
      <c r="B127" s="93" t="s">
        <v>94</v>
      </c>
      <c r="C127" s="96" t="s">
        <v>124</v>
      </c>
      <c r="D127" s="87" t="s">
        <v>117</v>
      </c>
      <c r="E127" s="190"/>
      <c r="F127" s="190"/>
      <c r="G127" s="103"/>
      <c r="H127" s="103"/>
    </row>
    <row r="128" spans="1:9" ht="25.2" customHeight="1" x14ac:dyDescent="0.25">
      <c r="B128" s="93" t="s">
        <v>95</v>
      </c>
      <c r="C128" s="111" t="str">
        <f>+$G105</f>
        <v>PENSILVANIA</v>
      </c>
      <c r="D128" s="87" t="s">
        <v>118</v>
      </c>
      <c r="E128" s="190"/>
      <c r="F128" s="190"/>
      <c r="G128" s="103"/>
      <c r="H128" s="103"/>
    </row>
    <row r="129" spans="1:9" ht="25.2" customHeight="1" x14ac:dyDescent="0.25">
      <c r="B129" s="93" t="s">
        <v>119</v>
      </c>
      <c r="C129" s="112"/>
      <c r="D129" s="87" t="s">
        <v>153</v>
      </c>
      <c r="E129" s="205" t="str">
        <f>+VLOOKUP($G105,$K$2:$M$15,3,FALSE)</f>
        <v>CASA DE ENCUENTRO PADRE DANIEL MARIA LÓPEZ</v>
      </c>
      <c r="F129" s="205"/>
    </row>
    <row r="130" spans="1:9" ht="25.2" customHeight="1" x14ac:dyDescent="0.25">
      <c r="B130" s="93" t="s">
        <v>120</v>
      </c>
      <c r="C130" s="112"/>
    </row>
    <row r="132" spans="1:9" x14ac:dyDescent="0.25">
      <c r="A132" s="189" t="s">
        <v>121</v>
      </c>
      <c r="B132" s="189"/>
      <c r="C132" s="192"/>
      <c r="D132" s="192"/>
      <c r="E132" s="192"/>
      <c r="F132" s="189"/>
      <c r="G132" s="98"/>
      <c r="H132" s="98"/>
    </row>
    <row r="133" spans="1:9" ht="25.2" customHeight="1" x14ac:dyDescent="0.25">
      <c r="B133" s="93" t="s">
        <v>158</v>
      </c>
      <c r="C133" s="193" t="s">
        <v>171</v>
      </c>
      <c r="D133" s="194"/>
      <c r="E133" s="195"/>
    </row>
    <row r="134" spans="1:9" ht="25.2" customHeight="1" x14ac:dyDescent="0.25">
      <c r="B134" s="87" t="s">
        <v>113</v>
      </c>
      <c r="C134" s="199">
        <v>1298501</v>
      </c>
      <c r="D134" s="194"/>
      <c r="E134" s="195"/>
    </row>
    <row r="135" spans="1:9" ht="25.2" customHeight="1" x14ac:dyDescent="0.25">
      <c r="B135" s="87" t="s">
        <v>122</v>
      </c>
      <c r="C135" s="193" t="s">
        <v>159</v>
      </c>
      <c r="D135" s="194"/>
      <c r="E135" s="195"/>
    </row>
    <row r="136" spans="1:9" ht="25.2" customHeight="1" x14ac:dyDescent="0.25">
      <c r="B136" s="87" t="s">
        <v>123</v>
      </c>
      <c r="C136" s="196"/>
      <c r="D136" s="197"/>
      <c r="E136" s="198"/>
    </row>
    <row r="138" spans="1:9" ht="15.75" thickBot="1" x14ac:dyDescent="0.3">
      <c r="I138" s="95" t="s">
        <v>88</v>
      </c>
    </row>
    <row r="139" spans="1:9" ht="23.4" customHeight="1" thickBot="1" x14ac:dyDescent="0.3">
      <c r="B139" s="209" t="str">
        <f>+$B$3</f>
        <v>CÓDIGO INVIMA: 170AC</v>
      </c>
      <c r="C139" s="200" t="s">
        <v>89</v>
      </c>
      <c r="D139" s="200"/>
      <c r="E139" s="201" t="s">
        <v>90</v>
      </c>
      <c r="F139" s="201"/>
      <c r="G139" s="94" t="s">
        <v>21</v>
      </c>
      <c r="H139" s="109" t="str">
        <f>+$H$3</f>
        <v>DORA1400</v>
      </c>
      <c r="I139" s="108" t="str">
        <f>+VLOOKUP($G139,$K$2:$M$15,2,FALSE)&amp;$H$3</f>
        <v>5DORA1400</v>
      </c>
    </row>
    <row r="140" spans="1:9" ht="25.2" customHeight="1" thickBot="1" x14ac:dyDescent="0.3">
      <c r="B140" s="210"/>
      <c r="C140" s="202"/>
      <c r="D140" s="202"/>
      <c r="E140" s="203" t="str">
        <f>+$F$7&amp;"-"&amp;$I139&amp;"-"&amp;2025</f>
        <v>170AC-5DORA1400-2025</v>
      </c>
      <c r="F140" s="203"/>
      <c r="G140" s="138">
        <f>+VLOOKUP($G139,$K$2:$M$15,2,FALSE)</f>
        <v>5</v>
      </c>
      <c r="H140" s="97"/>
    </row>
    <row r="142" spans="1:9" x14ac:dyDescent="0.25">
      <c r="A142" s="189" t="s">
        <v>91</v>
      </c>
      <c r="B142" s="189"/>
      <c r="C142" s="189"/>
      <c r="D142" s="189"/>
      <c r="E142" s="189"/>
      <c r="F142" s="189"/>
      <c r="G142" s="98"/>
      <c r="H142" s="98"/>
    </row>
    <row r="143" spans="1:9" ht="29.95" customHeight="1" x14ac:dyDescent="0.25">
      <c r="B143" s="87" t="s">
        <v>92</v>
      </c>
      <c r="C143" s="204" t="s">
        <v>135</v>
      </c>
      <c r="D143" s="204"/>
      <c r="E143" s="87" t="s">
        <v>93</v>
      </c>
      <c r="F143" s="88" t="s">
        <v>138</v>
      </c>
    </row>
    <row r="144" spans="1:9" ht="29.95" customHeight="1" x14ac:dyDescent="0.25">
      <c r="B144" s="87" t="s">
        <v>94</v>
      </c>
      <c r="C144" s="204" t="s">
        <v>124</v>
      </c>
      <c r="D144" s="204"/>
      <c r="E144" s="87" t="s">
        <v>95</v>
      </c>
      <c r="F144" s="88" t="s">
        <v>23</v>
      </c>
    </row>
    <row r="145" spans="1:9" ht="29.95" customHeight="1" x14ac:dyDescent="0.25">
      <c r="B145" s="87" t="s">
        <v>96</v>
      </c>
      <c r="C145" s="208" t="s">
        <v>136</v>
      </c>
      <c r="D145" s="208"/>
      <c r="E145" s="87" t="s">
        <v>97</v>
      </c>
      <c r="F145" s="114" t="s">
        <v>125</v>
      </c>
    </row>
    <row r="146" spans="1:9" ht="29.95" customHeight="1" x14ac:dyDescent="0.25">
      <c r="B146" s="87" t="s">
        <v>98</v>
      </c>
      <c r="C146" s="191"/>
      <c r="D146" s="191"/>
      <c r="E146" s="87" t="s">
        <v>99</v>
      </c>
      <c r="F146" s="110"/>
    </row>
    <row r="147" spans="1:9" x14ac:dyDescent="0.25">
      <c r="I147" s="105"/>
    </row>
    <row r="149" spans="1:9" x14ac:dyDescent="0.25">
      <c r="A149" s="189" t="s">
        <v>100</v>
      </c>
      <c r="B149" s="189"/>
      <c r="C149" s="189"/>
      <c r="D149" s="189"/>
      <c r="E149" s="192"/>
      <c r="F149" s="192"/>
      <c r="G149" s="98"/>
      <c r="H149" s="98"/>
    </row>
    <row r="150" spans="1:9" ht="30.15" x14ac:dyDescent="0.25">
      <c r="A150" s="87" t="s">
        <v>101</v>
      </c>
      <c r="B150" s="89" t="s">
        <v>102</v>
      </c>
      <c r="C150" s="89" t="s">
        <v>133</v>
      </c>
      <c r="D150" s="89" t="s">
        <v>104</v>
      </c>
      <c r="E150" s="89" t="s">
        <v>105</v>
      </c>
      <c r="F150" s="89" t="s">
        <v>106</v>
      </c>
      <c r="G150" s="99"/>
      <c r="H150" s="99"/>
    </row>
    <row r="151" spans="1:9" ht="20.149999999999999" customHeight="1" x14ac:dyDescent="0.25">
      <c r="A151" s="90">
        <v>1</v>
      </c>
      <c r="B151" s="91" t="s">
        <v>131</v>
      </c>
      <c r="C151" s="88" t="str">
        <f>+$I$6</f>
        <v>Pechuga</v>
      </c>
      <c r="D151" s="91"/>
      <c r="E151" s="88">
        <f>+VLOOKUP($G140,CÁRNICOS!$BW$85:$CA$103,5,FALSE)</f>
        <v>2.3239999999999998</v>
      </c>
      <c r="F151" s="92"/>
      <c r="G151" s="100"/>
      <c r="H151" s="100"/>
    </row>
    <row r="152" spans="1:9" ht="20.149999999999999" customHeight="1" x14ac:dyDescent="0.25">
      <c r="A152" s="90">
        <v>2</v>
      </c>
      <c r="B152" s="91" t="s">
        <v>108</v>
      </c>
      <c r="C152" s="91"/>
      <c r="D152" s="91"/>
      <c r="E152" s="91"/>
      <c r="F152" s="91"/>
      <c r="G152" s="100"/>
      <c r="H152" s="100"/>
    </row>
    <row r="154" spans="1:9" x14ac:dyDescent="0.25">
      <c r="A154" s="189" t="s">
        <v>109</v>
      </c>
      <c r="B154" s="189"/>
      <c r="C154" s="189"/>
      <c r="D154" s="189"/>
      <c r="E154" s="192"/>
      <c r="F154" s="192"/>
      <c r="G154" s="98"/>
      <c r="H154" s="98"/>
    </row>
    <row r="155" spans="1:9" ht="25.2" customHeight="1" x14ac:dyDescent="0.25">
      <c r="B155" s="87" t="s">
        <v>110</v>
      </c>
      <c r="C155" s="92"/>
      <c r="D155" s="87" t="s">
        <v>111</v>
      </c>
      <c r="E155" s="206"/>
      <c r="F155" s="206"/>
      <c r="G155" s="101"/>
      <c r="H155" s="101"/>
    </row>
    <row r="156" spans="1:9" ht="25.2" customHeight="1" x14ac:dyDescent="0.25">
      <c r="B156" s="87" t="s">
        <v>112</v>
      </c>
      <c r="C156" s="92"/>
      <c r="D156" s="87" t="s">
        <v>113</v>
      </c>
      <c r="E156" s="206"/>
      <c r="F156" s="206"/>
      <c r="G156" s="101"/>
      <c r="H156" s="101"/>
    </row>
    <row r="157" spans="1:9" ht="25.2" customHeight="1" x14ac:dyDescent="0.25">
      <c r="D157" s="87" t="s">
        <v>97</v>
      </c>
      <c r="E157" s="207"/>
      <c r="F157" s="207"/>
      <c r="G157" s="102"/>
      <c r="H157" s="102"/>
    </row>
    <row r="158" spans="1:9" ht="25.2" customHeight="1" x14ac:dyDescent="0.25">
      <c r="B158" s="87" t="s">
        <v>114</v>
      </c>
      <c r="C158" s="191"/>
      <c r="D158" s="191"/>
      <c r="E158" s="93" t="s">
        <v>115</v>
      </c>
      <c r="F158" s="113"/>
    </row>
    <row r="160" spans="1:9" x14ac:dyDescent="0.25">
      <c r="A160" s="189" t="s">
        <v>116</v>
      </c>
      <c r="B160" s="189"/>
      <c r="C160" s="189"/>
      <c r="D160" s="189"/>
      <c r="E160" s="189"/>
      <c r="F160" s="189"/>
      <c r="G160" s="98"/>
      <c r="H160" s="98"/>
    </row>
    <row r="161" spans="1:9" ht="25.2" customHeight="1" x14ac:dyDescent="0.25">
      <c r="B161" s="93" t="s">
        <v>94</v>
      </c>
      <c r="C161" s="96" t="s">
        <v>124</v>
      </c>
      <c r="D161" s="87" t="s">
        <v>117</v>
      </c>
      <c r="E161" s="190"/>
      <c r="F161" s="190"/>
      <c r="G161" s="103"/>
      <c r="H161" s="103"/>
    </row>
    <row r="162" spans="1:9" ht="25.2" customHeight="1" x14ac:dyDescent="0.25">
      <c r="B162" s="93" t="s">
        <v>95</v>
      </c>
      <c r="C162" s="111" t="str">
        <f>+$G139</f>
        <v>MANZANARES</v>
      </c>
      <c r="D162" s="87" t="s">
        <v>118</v>
      </c>
      <c r="E162" s="190"/>
      <c r="F162" s="190"/>
      <c r="G162" s="103"/>
      <c r="H162" s="103"/>
    </row>
    <row r="163" spans="1:9" ht="25.2" customHeight="1" x14ac:dyDescent="0.25">
      <c r="B163" s="93" t="s">
        <v>119</v>
      </c>
      <c r="C163" s="112"/>
      <c r="D163" s="87" t="s">
        <v>153</v>
      </c>
      <c r="E163" s="205" t="str">
        <f>+VLOOKUP($G139,$K$2:$M$15,3,FALSE)</f>
        <v>CRA 4 # 18-00</v>
      </c>
      <c r="F163" s="205"/>
    </row>
    <row r="164" spans="1:9" ht="25.2" customHeight="1" x14ac:dyDescent="0.25">
      <c r="B164" s="93" t="s">
        <v>120</v>
      </c>
      <c r="C164" s="112"/>
    </row>
    <row r="166" spans="1:9" x14ac:dyDescent="0.25">
      <c r="A166" s="189" t="s">
        <v>121</v>
      </c>
      <c r="B166" s="189"/>
      <c r="C166" s="192"/>
      <c r="D166" s="192"/>
      <c r="E166" s="192"/>
      <c r="F166" s="189"/>
      <c r="G166" s="98"/>
      <c r="H166" s="98"/>
    </row>
    <row r="167" spans="1:9" ht="25.2" customHeight="1" x14ac:dyDescent="0.25">
      <c r="B167" s="93" t="s">
        <v>158</v>
      </c>
      <c r="C167" s="193" t="s">
        <v>171</v>
      </c>
      <c r="D167" s="194"/>
      <c r="E167" s="195"/>
    </row>
    <row r="168" spans="1:9" ht="25.2" customHeight="1" x14ac:dyDescent="0.25">
      <c r="B168" s="87" t="s">
        <v>113</v>
      </c>
      <c r="C168" s="199">
        <v>1298501</v>
      </c>
      <c r="D168" s="194"/>
      <c r="E168" s="195"/>
    </row>
    <row r="169" spans="1:9" ht="25.2" customHeight="1" x14ac:dyDescent="0.25">
      <c r="B169" s="87" t="s">
        <v>122</v>
      </c>
      <c r="C169" s="193" t="s">
        <v>159</v>
      </c>
      <c r="D169" s="194"/>
      <c r="E169" s="195"/>
    </row>
    <row r="170" spans="1:9" ht="25.2" customHeight="1" x14ac:dyDescent="0.25">
      <c r="B170" s="87" t="s">
        <v>123</v>
      </c>
      <c r="C170" s="196"/>
      <c r="D170" s="197"/>
      <c r="E170" s="198"/>
    </row>
    <row r="172" spans="1:9" ht="15.75" thickBot="1" x14ac:dyDescent="0.3">
      <c r="I172" s="95" t="s">
        <v>88</v>
      </c>
    </row>
    <row r="173" spans="1:9" ht="23.4" customHeight="1" thickBot="1" x14ac:dyDescent="0.3">
      <c r="B173" s="209" t="str">
        <f>+$B$3</f>
        <v>CÓDIGO INVIMA: 170AC</v>
      </c>
      <c r="C173" s="200" t="s">
        <v>89</v>
      </c>
      <c r="D173" s="200"/>
      <c r="E173" s="201" t="s">
        <v>90</v>
      </c>
      <c r="F173" s="201"/>
      <c r="G173" s="94" t="s">
        <v>20</v>
      </c>
      <c r="H173" s="109" t="str">
        <f>+$H$3</f>
        <v>DORA1400</v>
      </c>
      <c r="I173" s="108" t="str">
        <f>+VLOOKUP($G173,$K$2:$M$15,2,FALSE)&amp;$H$3</f>
        <v>6DORA1400</v>
      </c>
    </row>
    <row r="174" spans="1:9" ht="25.2" customHeight="1" thickBot="1" x14ac:dyDescent="0.3">
      <c r="B174" s="210"/>
      <c r="C174" s="202"/>
      <c r="D174" s="202"/>
      <c r="E174" s="203" t="str">
        <f>+$F$7&amp;"-"&amp;$I173&amp;"-"&amp;2025</f>
        <v>170AC-6DORA1400-2025</v>
      </c>
      <c r="F174" s="203"/>
      <c r="G174" s="138">
        <f>+VLOOKUP($G173,$K$2:$M$15,2,FALSE)</f>
        <v>6</v>
      </c>
      <c r="H174" s="97"/>
    </row>
    <row r="176" spans="1:9" x14ac:dyDescent="0.25">
      <c r="A176" s="189" t="s">
        <v>91</v>
      </c>
      <c r="B176" s="189"/>
      <c r="C176" s="189"/>
      <c r="D176" s="189"/>
      <c r="E176" s="189"/>
      <c r="F176" s="189"/>
      <c r="G176" s="98"/>
      <c r="H176" s="98"/>
    </row>
    <row r="177" spans="1:9" ht="29.95" customHeight="1" x14ac:dyDescent="0.25">
      <c r="B177" s="87" t="s">
        <v>92</v>
      </c>
      <c r="C177" s="204" t="s">
        <v>135</v>
      </c>
      <c r="D177" s="204"/>
      <c r="E177" s="87" t="s">
        <v>93</v>
      </c>
      <c r="F177" s="88" t="s">
        <v>138</v>
      </c>
    </row>
    <row r="178" spans="1:9" ht="29.95" customHeight="1" x14ac:dyDescent="0.25">
      <c r="B178" s="87" t="s">
        <v>94</v>
      </c>
      <c r="C178" s="204" t="s">
        <v>124</v>
      </c>
      <c r="D178" s="204"/>
      <c r="E178" s="87" t="s">
        <v>95</v>
      </c>
      <c r="F178" s="88" t="s">
        <v>23</v>
      </c>
    </row>
    <row r="179" spans="1:9" ht="29.95" customHeight="1" x14ac:dyDescent="0.25">
      <c r="B179" s="87" t="s">
        <v>96</v>
      </c>
      <c r="C179" s="208" t="s">
        <v>136</v>
      </c>
      <c r="D179" s="208"/>
      <c r="E179" s="87" t="s">
        <v>97</v>
      </c>
      <c r="F179" s="114" t="s">
        <v>125</v>
      </c>
    </row>
    <row r="180" spans="1:9" ht="29.95" customHeight="1" x14ac:dyDescent="0.25">
      <c r="B180" s="87" t="s">
        <v>98</v>
      </c>
      <c r="C180" s="191"/>
      <c r="D180" s="191"/>
      <c r="E180" s="87" t="s">
        <v>99</v>
      </c>
      <c r="F180" s="110"/>
    </row>
    <row r="181" spans="1:9" x14ac:dyDescent="0.25">
      <c r="I181" s="105"/>
    </row>
    <row r="183" spans="1:9" x14ac:dyDescent="0.25">
      <c r="A183" s="189" t="s">
        <v>100</v>
      </c>
      <c r="B183" s="189"/>
      <c r="C183" s="189"/>
      <c r="D183" s="189"/>
      <c r="E183" s="192"/>
      <c r="F183" s="192"/>
      <c r="G183" s="98"/>
      <c r="H183" s="98"/>
    </row>
    <row r="184" spans="1:9" ht="30.15" x14ac:dyDescent="0.25">
      <c r="A184" s="87" t="s">
        <v>101</v>
      </c>
      <c r="B184" s="89" t="s">
        <v>102</v>
      </c>
      <c r="C184" s="89" t="s">
        <v>133</v>
      </c>
      <c r="D184" s="89" t="s">
        <v>104</v>
      </c>
      <c r="E184" s="89" t="s">
        <v>105</v>
      </c>
      <c r="F184" s="89" t="s">
        <v>106</v>
      </c>
      <c r="G184" s="99"/>
      <c r="H184" s="99"/>
    </row>
    <row r="185" spans="1:9" ht="20.149999999999999" customHeight="1" x14ac:dyDescent="0.25">
      <c r="A185" s="90">
        <v>1</v>
      </c>
      <c r="B185" s="91" t="s">
        <v>131</v>
      </c>
      <c r="C185" s="88" t="str">
        <f>+$I$6</f>
        <v>Pechuga</v>
      </c>
      <c r="D185" s="91"/>
      <c r="E185" s="88">
        <f>+VLOOKUP($G174,CÁRNICOS!$BW$85:$CA$103,5,FALSE)</f>
        <v>6.34</v>
      </c>
      <c r="F185" s="92"/>
      <c r="G185" s="100"/>
      <c r="H185" s="100"/>
    </row>
    <row r="186" spans="1:9" ht="20.149999999999999" customHeight="1" x14ac:dyDescent="0.25">
      <c r="A186" s="90">
        <v>2</v>
      </c>
      <c r="B186" s="91" t="s">
        <v>108</v>
      </c>
      <c r="C186" s="91"/>
      <c r="D186" s="91"/>
      <c r="E186" s="91"/>
      <c r="F186" s="91"/>
      <c r="G186" s="100"/>
      <c r="H186" s="100"/>
    </row>
    <row r="188" spans="1:9" x14ac:dyDescent="0.25">
      <c r="A188" s="189" t="s">
        <v>109</v>
      </c>
      <c r="B188" s="189"/>
      <c r="C188" s="189"/>
      <c r="D188" s="189"/>
      <c r="E188" s="192"/>
      <c r="F188" s="192"/>
      <c r="G188" s="98"/>
      <c r="H188" s="98"/>
    </row>
    <row r="189" spans="1:9" ht="25.2" customHeight="1" x14ac:dyDescent="0.25">
      <c r="B189" s="87" t="s">
        <v>110</v>
      </c>
      <c r="C189" s="92"/>
      <c r="D189" s="87" t="s">
        <v>111</v>
      </c>
      <c r="E189" s="206"/>
      <c r="F189" s="206"/>
      <c r="G189" s="101"/>
      <c r="H189" s="101"/>
    </row>
    <row r="190" spans="1:9" ht="25.2" customHeight="1" x14ac:dyDescent="0.25">
      <c r="B190" s="87" t="s">
        <v>112</v>
      </c>
      <c r="C190" s="92"/>
      <c r="D190" s="87" t="s">
        <v>113</v>
      </c>
      <c r="E190" s="206"/>
      <c r="F190" s="206"/>
      <c r="G190" s="101"/>
      <c r="H190" s="101"/>
    </row>
    <row r="191" spans="1:9" ht="25.2" customHeight="1" x14ac:dyDescent="0.25">
      <c r="D191" s="87" t="s">
        <v>97</v>
      </c>
      <c r="E191" s="207"/>
      <c r="F191" s="207"/>
      <c r="G191" s="102"/>
      <c r="H191" s="102"/>
    </row>
    <row r="192" spans="1:9" ht="25.2" customHeight="1" x14ac:dyDescent="0.25">
      <c r="B192" s="87" t="s">
        <v>114</v>
      </c>
      <c r="C192" s="191"/>
      <c r="D192" s="191"/>
      <c r="E192" s="93" t="s">
        <v>115</v>
      </c>
      <c r="F192" s="113"/>
    </row>
    <row r="194" spans="1:9" x14ac:dyDescent="0.25">
      <c r="A194" s="189" t="s">
        <v>116</v>
      </c>
      <c r="B194" s="189"/>
      <c r="C194" s="189"/>
      <c r="D194" s="189"/>
      <c r="E194" s="189"/>
      <c r="F194" s="189"/>
      <c r="G194" s="98"/>
      <c r="H194" s="98"/>
    </row>
    <row r="195" spans="1:9" ht="25.2" customHeight="1" x14ac:dyDescent="0.25">
      <c r="B195" s="93" t="s">
        <v>94</v>
      </c>
      <c r="C195" s="96" t="s">
        <v>124</v>
      </c>
      <c r="D195" s="87" t="s">
        <v>117</v>
      </c>
      <c r="E195" s="190"/>
      <c r="F195" s="190"/>
      <c r="G195" s="103"/>
      <c r="H195" s="103"/>
    </row>
    <row r="196" spans="1:9" ht="25.2" customHeight="1" x14ac:dyDescent="0.25">
      <c r="B196" s="93" t="s">
        <v>95</v>
      </c>
      <c r="C196" s="111" t="str">
        <f>+$G173</f>
        <v>MARQUETALIA</v>
      </c>
      <c r="D196" s="87" t="s">
        <v>118</v>
      </c>
      <c r="E196" s="190"/>
      <c r="F196" s="190"/>
      <c r="G196" s="103"/>
      <c r="H196" s="103"/>
    </row>
    <row r="197" spans="1:9" ht="25.2" customHeight="1" x14ac:dyDescent="0.25">
      <c r="B197" s="93" t="s">
        <v>119</v>
      </c>
      <c r="C197" s="112"/>
      <c r="D197" s="87" t="s">
        <v>153</v>
      </c>
      <c r="E197" s="205" t="str">
        <f>+VLOOKUP($G173,$K$2:$M$15,3,FALSE)</f>
        <v>CRA 2 A 32-36</v>
      </c>
      <c r="F197" s="205"/>
    </row>
    <row r="198" spans="1:9" ht="25.2" customHeight="1" x14ac:dyDescent="0.25">
      <c r="B198" s="93" t="s">
        <v>120</v>
      </c>
      <c r="C198" s="112"/>
    </row>
    <row r="200" spans="1:9" x14ac:dyDescent="0.25">
      <c r="A200" s="189" t="s">
        <v>121</v>
      </c>
      <c r="B200" s="189"/>
      <c r="C200" s="192"/>
      <c r="D200" s="192"/>
      <c r="E200" s="192"/>
      <c r="F200" s="189"/>
      <c r="G200" s="98"/>
      <c r="H200" s="98"/>
    </row>
    <row r="201" spans="1:9" ht="25.2" customHeight="1" x14ac:dyDescent="0.25">
      <c r="B201" s="93" t="s">
        <v>158</v>
      </c>
      <c r="C201" s="193" t="s">
        <v>171</v>
      </c>
      <c r="D201" s="194"/>
      <c r="E201" s="195"/>
    </row>
    <row r="202" spans="1:9" ht="25.2" customHeight="1" x14ac:dyDescent="0.25">
      <c r="B202" s="87" t="s">
        <v>113</v>
      </c>
      <c r="C202" s="199">
        <v>1298501</v>
      </c>
      <c r="D202" s="194"/>
      <c r="E202" s="195"/>
    </row>
    <row r="203" spans="1:9" ht="25.2" customHeight="1" x14ac:dyDescent="0.25">
      <c r="B203" s="87" t="s">
        <v>122</v>
      </c>
      <c r="C203" s="193" t="s">
        <v>159</v>
      </c>
      <c r="D203" s="194"/>
      <c r="E203" s="195"/>
    </row>
    <row r="204" spans="1:9" ht="25.2" customHeight="1" x14ac:dyDescent="0.25">
      <c r="B204" s="87" t="s">
        <v>123</v>
      </c>
      <c r="C204" s="196"/>
      <c r="D204" s="197"/>
      <c r="E204" s="198"/>
    </row>
    <row r="206" spans="1:9" ht="15.75" thickBot="1" x14ac:dyDescent="0.3">
      <c r="I206" s="95" t="s">
        <v>88</v>
      </c>
    </row>
    <row r="207" spans="1:9" ht="23.4" customHeight="1" thickBot="1" x14ac:dyDescent="0.3">
      <c r="B207" s="209" t="str">
        <f>+$B$3</f>
        <v>CÓDIGO INVIMA: 170AC</v>
      </c>
      <c r="C207" s="200" t="s">
        <v>89</v>
      </c>
      <c r="D207" s="200"/>
      <c r="E207" s="201" t="s">
        <v>90</v>
      </c>
      <c r="F207" s="201"/>
      <c r="G207" s="94" t="s">
        <v>67</v>
      </c>
      <c r="H207" s="109" t="str">
        <f>+$H$3</f>
        <v>DORA1400</v>
      </c>
      <c r="I207" s="108" t="str">
        <f>+VLOOKUP($G207,$K$2:$M$15,2,FALSE)&amp;$H$3</f>
        <v>7DORA1400</v>
      </c>
    </row>
    <row r="208" spans="1:9" ht="25.2" customHeight="1" thickBot="1" x14ac:dyDescent="0.3">
      <c r="B208" s="210"/>
      <c r="C208" s="202"/>
      <c r="D208" s="202"/>
      <c r="E208" s="203" t="str">
        <f>+$F$7&amp;"-"&amp;$I207&amp;"-"&amp;2025</f>
        <v>170AC-7DORA1400-2025</v>
      </c>
      <c r="F208" s="203"/>
      <c r="G208" s="138">
        <f>+VLOOKUP($G207,$K$2:$M$15,2,FALSE)</f>
        <v>7</v>
      </c>
      <c r="H208" s="97"/>
    </row>
    <row r="210" spans="1:9" x14ac:dyDescent="0.25">
      <c r="A210" s="189" t="s">
        <v>91</v>
      </c>
      <c r="B210" s="189"/>
      <c r="C210" s="189"/>
      <c r="D210" s="189"/>
      <c r="E210" s="189"/>
      <c r="F210" s="189"/>
      <c r="G210" s="98"/>
      <c r="H210" s="98"/>
    </row>
    <row r="211" spans="1:9" ht="29.95" customHeight="1" x14ac:dyDescent="0.25">
      <c r="B211" s="87" t="s">
        <v>92</v>
      </c>
      <c r="C211" s="204" t="s">
        <v>135</v>
      </c>
      <c r="D211" s="204"/>
      <c r="E211" s="87" t="s">
        <v>93</v>
      </c>
      <c r="F211" s="88" t="s">
        <v>138</v>
      </c>
    </row>
    <row r="212" spans="1:9" ht="29.95" customHeight="1" x14ac:dyDescent="0.25">
      <c r="B212" s="87" t="s">
        <v>94</v>
      </c>
      <c r="C212" s="204" t="s">
        <v>124</v>
      </c>
      <c r="D212" s="204"/>
      <c r="E212" s="87" t="s">
        <v>95</v>
      </c>
      <c r="F212" s="88" t="s">
        <v>23</v>
      </c>
    </row>
    <row r="213" spans="1:9" ht="29.95" customHeight="1" x14ac:dyDescent="0.25">
      <c r="B213" s="87" t="s">
        <v>96</v>
      </c>
      <c r="C213" s="208" t="s">
        <v>136</v>
      </c>
      <c r="D213" s="208"/>
      <c r="E213" s="87" t="s">
        <v>97</v>
      </c>
      <c r="F213" s="114" t="s">
        <v>125</v>
      </c>
    </row>
    <row r="214" spans="1:9" ht="29.95" customHeight="1" x14ac:dyDescent="0.25">
      <c r="B214" s="87" t="s">
        <v>98</v>
      </c>
      <c r="C214" s="191"/>
      <c r="D214" s="191"/>
      <c r="E214" s="87" t="s">
        <v>99</v>
      </c>
      <c r="F214" s="110"/>
    </row>
    <row r="215" spans="1:9" x14ac:dyDescent="0.25">
      <c r="I215" s="105"/>
    </row>
    <row r="217" spans="1:9" x14ac:dyDescent="0.25">
      <c r="A217" s="189" t="s">
        <v>100</v>
      </c>
      <c r="B217" s="189"/>
      <c r="C217" s="189"/>
      <c r="D217" s="189"/>
      <c r="E217" s="192"/>
      <c r="F217" s="192"/>
      <c r="G217" s="98"/>
      <c r="H217" s="98"/>
    </row>
    <row r="218" spans="1:9" ht="30.15" x14ac:dyDescent="0.25">
      <c r="A218" s="87" t="s">
        <v>101</v>
      </c>
      <c r="B218" s="89" t="s">
        <v>102</v>
      </c>
      <c r="C218" s="89" t="s">
        <v>133</v>
      </c>
      <c r="D218" s="89" t="s">
        <v>104</v>
      </c>
      <c r="E218" s="89" t="s">
        <v>105</v>
      </c>
      <c r="F218" s="89" t="s">
        <v>106</v>
      </c>
      <c r="G218" s="99"/>
      <c r="H218" s="99"/>
    </row>
    <row r="219" spans="1:9" ht="20.149999999999999" customHeight="1" x14ac:dyDescent="0.25">
      <c r="A219" s="90">
        <v>1</v>
      </c>
      <c r="B219" s="91" t="s">
        <v>131</v>
      </c>
      <c r="C219" s="88" t="str">
        <f>+$I$6</f>
        <v>Pechuga</v>
      </c>
      <c r="D219" s="91"/>
      <c r="E219" s="88">
        <f>+VLOOKUP($G208,CÁRNICOS!$BW$85:$CA$103,5,FALSE)</f>
        <v>87.367000000000004</v>
      </c>
      <c r="F219" s="92"/>
      <c r="G219" s="100"/>
      <c r="H219" s="100"/>
    </row>
    <row r="220" spans="1:9" ht="20.149999999999999" customHeight="1" x14ac:dyDescent="0.25">
      <c r="A220" s="90">
        <v>2</v>
      </c>
      <c r="B220" s="91" t="s">
        <v>108</v>
      </c>
      <c r="C220" s="91"/>
      <c r="D220" s="91"/>
      <c r="E220" s="91"/>
      <c r="F220" s="91"/>
      <c r="G220" s="100"/>
      <c r="H220" s="100"/>
    </row>
    <row r="222" spans="1:9" x14ac:dyDescent="0.25">
      <c r="A222" s="189" t="s">
        <v>109</v>
      </c>
      <c r="B222" s="189"/>
      <c r="C222" s="189"/>
      <c r="D222" s="189"/>
      <c r="E222" s="192"/>
      <c r="F222" s="192"/>
      <c r="G222" s="98"/>
      <c r="H222" s="98"/>
    </row>
    <row r="223" spans="1:9" ht="25.2" customHeight="1" x14ac:dyDescent="0.25">
      <c r="B223" s="87" t="s">
        <v>110</v>
      </c>
      <c r="C223" s="92"/>
      <c r="D223" s="87" t="s">
        <v>111</v>
      </c>
      <c r="E223" s="206"/>
      <c r="F223" s="206"/>
      <c r="G223" s="101"/>
      <c r="H223" s="101"/>
    </row>
    <row r="224" spans="1:9" ht="25.2" customHeight="1" x14ac:dyDescent="0.25">
      <c r="B224" s="87" t="s">
        <v>112</v>
      </c>
      <c r="C224" s="92"/>
      <c r="D224" s="87" t="s">
        <v>113</v>
      </c>
      <c r="E224" s="206"/>
      <c r="F224" s="206"/>
      <c r="G224" s="101"/>
      <c r="H224" s="101"/>
    </row>
    <row r="225" spans="1:9" ht="25.2" customHeight="1" x14ac:dyDescent="0.25">
      <c r="D225" s="87" t="s">
        <v>97</v>
      </c>
      <c r="E225" s="207"/>
      <c r="F225" s="207"/>
      <c r="G225" s="102"/>
      <c r="H225" s="102"/>
    </row>
    <row r="226" spans="1:9" ht="25.2" customHeight="1" x14ac:dyDescent="0.25">
      <c r="B226" s="87" t="s">
        <v>114</v>
      </c>
      <c r="C226" s="191"/>
      <c r="D226" s="191"/>
      <c r="E226" s="93" t="s">
        <v>115</v>
      </c>
      <c r="F226" s="113"/>
    </row>
    <row r="228" spans="1:9" x14ac:dyDescent="0.25">
      <c r="A228" s="189" t="s">
        <v>116</v>
      </c>
      <c r="B228" s="189"/>
      <c r="C228" s="189"/>
      <c r="D228" s="189"/>
      <c r="E228" s="189"/>
      <c r="F228" s="189"/>
      <c r="G228" s="98"/>
      <c r="H228" s="98"/>
    </row>
    <row r="229" spans="1:9" ht="25.2" customHeight="1" x14ac:dyDescent="0.25">
      <c r="B229" s="93" t="s">
        <v>94</v>
      </c>
      <c r="C229" s="96" t="s">
        <v>124</v>
      </c>
      <c r="D229" s="87" t="s">
        <v>117</v>
      </c>
      <c r="E229" s="190"/>
      <c r="F229" s="190"/>
      <c r="G229" s="103"/>
      <c r="H229" s="103"/>
    </row>
    <row r="230" spans="1:9" ht="25.2" customHeight="1" x14ac:dyDescent="0.25">
      <c r="B230" s="93" t="s">
        <v>95</v>
      </c>
      <c r="C230" s="111" t="str">
        <f>+$G207</f>
        <v>RIOSUCIO</v>
      </c>
      <c r="D230" s="87" t="s">
        <v>118</v>
      </c>
      <c r="E230" s="190"/>
      <c r="F230" s="190"/>
      <c r="G230" s="103"/>
      <c r="H230" s="103"/>
    </row>
    <row r="231" spans="1:9" ht="25.2" customHeight="1" x14ac:dyDescent="0.25">
      <c r="B231" s="93" t="s">
        <v>119</v>
      </c>
      <c r="C231" s="112"/>
      <c r="D231" s="87" t="s">
        <v>153</v>
      </c>
      <c r="E231" s="205" t="str">
        <f>+VLOOKUP($G207,$K$2:$M$15,3,FALSE)</f>
        <v>CALLE 10 # 11-41</v>
      </c>
      <c r="F231" s="205"/>
    </row>
    <row r="232" spans="1:9" ht="25.2" customHeight="1" x14ac:dyDescent="0.25">
      <c r="B232" s="93" t="s">
        <v>120</v>
      </c>
      <c r="C232" s="112"/>
    </row>
    <row r="234" spans="1:9" x14ac:dyDescent="0.25">
      <c r="A234" s="189" t="s">
        <v>121</v>
      </c>
      <c r="B234" s="189"/>
      <c r="C234" s="192"/>
      <c r="D234" s="192"/>
      <c r="E234" s="192"/>
      <c r="F234" s="189"/>
      <c r="G234" s="98"/>
      <c r="H234" s="98"/>
    </row>
    <row r="235" spans="1:9" ht="25.2" customHeight="1" x14ac:dyDescent="0.25">
      <c r="B235" s="93" t="s">
        <v>158</v>
      </c>
      <c r="C235" s="193" t="s">
        <v>171</v>
      </c>
      <c r="D235" s="194"/>
      <c r="E235" s="195"/>
    </row>
    <row r="236" spans="1:9" ht="25.2" customHeight="1" x14ac:dyDescent="0.25">
      <c r="B236" s="87" t="s">
        <v>113</v>
      </c>
      <c r="C236" s="199">
        <v>1298501</v>
      </c>
      <c r="D236" s="194"/>
      <c r="E236" s="195"/>
    </row>
    <row r="237" spans="1:9" ht="25.2" customHeight="1" x14ac:dyDescent="0.25">
      <c r="B237" s="87" t="s">
        <v>122</v>
      </c>
      <c r="C237" s="193" t="s">
        <v>159</v>
      </c>
      <c r="D237" s="194"/>
      <c r="E237" s="195"/>
    </row>
    <row r="238" spans="1:9" ht="25.2" customHeight="1" x14ac:dyDescent="0.25">
      <c r="B238" s="87" t="s">
        <v>123</v>
      </c>
      <c r="C238" s="196"/>
      <c r="D238" s="197"/>
      <c r="E238" s="198"/>
    </row>
    <row r="240" spans="1:9" ht="15.75" thickBot="1" x14ac:dyDescent="0.3">
      <c r="I240" s="95" t="s">
        <v>88</v>
      </c>
    </row>
    <row r="241" spans="1:9" ht="23.4" customHeight="1" thickBot="1" x14ac:dyDescent="0.3">
      <c r="B241" s="209" t="str">
        <f>+$B$3</f>
        <v>CÓDIGO INVIMA: 170AC</v>
      </c>
      <c r="C241" s="200" t="s">
        <v>89</v>
      </c>
      <c r="D241" s="200"/>
      <c r="E241" s="201" t="s">
        <v>90</v>
      </c>
      <c r="F241" s="201"/>
      <c r="G241" s="94" t="s">
        <v>32</v>
      </c>
      <c r="H241" s="109" t="str">
        <f>+$H$3</f>
        <v>DORA1400</v>
      </c>
      <c r="I241" s="108" t="str">
        <f>+VLOOKUP($G241,$K$2:$M$15,2,FALSE)&amp;$H$3</f>
        <v>8DORA1400</v>
      </c>
    </row>
    <row r="242" spans="1:9" ht="25.2" customHeight="1" thickBot="1" x14ac:dyDescent="0.3">
      <c r="B242" s="210"/>
      <c r="C242" s="202"/>
      <c r="D242" s="202"/>
      <c r="E242" s="203" t="str">
        <f>+$F$7&amp;"-"&amp;$I241&amp;"-"&amp;2025</f>
        <v>170AC-8DORA1400-2025</v>
      </c>
      <c r="F242" s="203"/>
      <c r="G242" s="138">
        <f>+VLOOKUP($G241,$K$2:$M$15,2,FALSE)</f>
        <v>8</v>
      </c>
      <c r="H242" s="97"/>
    </row>
    <row r="244" spans="1:9" x14ac:dyDescent="0.25">
      <c r="A244" s="189" t="s">
        <v>91</v>
      </c>
      <c r="B244" s="189"/>
      <c r="C244" s="189"/>
      <c r="D244" s="189"/>
      <c r="E244" s="189"/>
      <c r="F244" s="189"/>
      <c r="G244" s="98"/>
      <c r="H244" s="98"/>
    </row>
    <row r="245" spans="1:9" ht="29.95" customHeight="1" x14ac:dyDescent="0.25">
      <c r="B245" s="87" t="s">
        <v>92</v>
      </c>
      <c r="C245" s="204" t="s">
        <v>135</v>
      </c>
      <c r="D245" s="204"/>
      <c r="E245" s="87" t="s">
        <v>93</v>
      </c>
      <c r="F245" s="88" t="s">
        <v>138</v>
      </c>
    </row>
    <row r="246" spans="1:9" ht="29.95" customHeight="1" x14ac:dyDescent="0.25">
      <c r="B246" s="87" t="s">
        <v>94</v>
      </c>
      <c r="C246" s="204" t="s">
        <v>124</v>
      </c>
      <c r="D246" s="204"/>
      <c r="E246" s="87" t="s">
        <v>95</v>
      </c>
      <c r="F246" s="88" t="s">
        <v>23</v>
      </c>
    </row>
    <row r="247" spans="1:9" ht="29.95" customHeight="1" x14ac:dyDescent="0.25">
      <c r="B247" s="87" t="s">
        <v>96</v>
      </c>
      <c r="C247" s="208" t="s">
        <v>136</v>
      </c>
      <c r="D247" s="208"/>
      <c r="E247" s="87" t="s">
        <v>97</v>
      </c>
      <c r="F247" s="114" t="s">
        <v>125</v>
      </c>
    </row>
    <row r="248" spans="1:9" ht="29.95" customHeight="1" x14ac:dyDescent="0.25">
      <c r="B248" s="87" t="s">
        <v>98</v>
      </c>
      <c r="C248" s="191"/>
      <c r="D248" s="191"/>
      <c r="E248" s="87" t="s">
        <v>99</v>
      </c>
      <c r="F248" s="110"/>
    </row>
    <row r="249" spans="1:9" x14ac:dyDescent="0.25">
      <c r="I249" s="105"/>
    </row>
    <row r="251" spans="1:9" x14ac:dyDescent="0.25">
      <c r="A251" s="189" t="s">
        <v>100</v>
      </c>
      <c r="B251" s="189"/>
      <c r="C251" s="189"/>
      <c r="D251" s="189"/>
      <c r="E251" s="192"/>
      <c r="F251" s="192"/>
      <c r="G251" s="98"/>
      <c r="H251" s="98"/>
    </row>
    <row r="252" spans="1:9" ht="30.15" x14ac:dyDescent="0.25">
      <c r="A252" s="87" t="s">
        <v>101</v>
      </c>
      <c r="B252" s="89" t="s">
        <v>102</v>
      </c>
      <c r="C252" s="89" t="s">
        <v>133</v>
      </c>
      <c r="D252" s="89" t="s">
        <v>104</v>
      </c>
      <c r="E252" s="89" t="s">
        <v>105</v>
      </c>
      <c r="F252" s="89" t="s">
        <v>106</v>
      </c>
      <c r="G252" s="99"/>
      <c r="H252" s="99"/>
    </row>
    <row r="253" spans="1:9" ht="20.149999999999999" customHeight="1" x14ac:dyDescent="0.25">
      <c r="A253" s="90">
        <v>1</v>
      </c>
      <c r="B253" s="91" t="s">
        <v>131</v>
      </c>
      <c r="C253" s="88" t="str">
        <f>+$I$6</f>
        <v>Pechuga</v>
      </c>
      <c r="D253" s="91"/>
      <c r="E253" s="88">
        <f>+VLOOKUP($G242,CÁRNICOS!$BW$85:$CA$103,5,FALSE)</f>
        <v>4.1580000000000004</v>
      </c>
      <c r="F253" s="92"/>
      <c r="G253" s="100"/>
      <c r="H253" s="100"/>
    </row>
    <row r="254" spans="1:9" ht="20.149999999999999" customHeight="1" x14ac:dyDescent="0.25">
      <c r="A254" s="90">
        <v>2</v>
      </c>
      <c r="B254" s="91" t="s">
        <v>108</v>
      </c>
      <c r="C254" s="91"/>
      <c r="D254" s="91"/>
      <c r="E254" s="91"/>
      <c r="F254" s="91"/>
      <c r="G254" s="100"/>
      <c r="H254" s="100"/>
    </row>
    <row r="256" spans="1:9" x14ac:dyDescent="0.25">
      <c r="A256" s="189" t="s">
        <v>109</v>
      </c>
      <c r="B256" s="189"/>
      <c r="C256" s="189"/>
      <c r="D256" s="189"/>
      <c r="E256" s="192"/>
      <c r="F256" s="192"/>
      <c r="G256" s="98"/>
      <c r="H256" s="98"/>
    </row>
    <row r="257" spans="1:8" ht="25.2" customHeight="1" x14ac:dyDescent="0.25">
      <c r="B257" s="87" t="s">
        <v>110</v>
      </c>
      <c r="C257" s="92"/>
      <c r="D257" s="87" t="s">
        <v>111</v>
      </c>
      <c r="E257" s="206"/>
      <c r="F257" s="206"/>
      <c r="G257" s="101"/>
      <c r="H257" s="101"/>
    </row>
    <row r="258" spans="1:8" ht="25.2" customHeight="1" x14ac:dyDescent="0.25">
      <c r="B258" s="87" t="s">
        <v>112</v>
      </c>
      <c r="C258" s="92"/>
      <c r="D258" s="87" t="s">
        <v>113</v>
      </c>
      <c r="E258" s="206"/>
      <c r="F258" s="206"/>
      <c r="G258" s="101"/>
      <c r="H258" s="101"/>
    </row>
    <row r="259" spans="1:8" ht="25.2" customHeight="1" x14ac:dyDescent="0.25">
      <c r="D259" s="87" t="s">
        <v>97</v>
      </c>
      <c r="E259" s="207"/>
      <c r="F259" s="207"/>
      <c r="G259" s="102"/>
      <c r="H259" s="102"/>
    </row>
    <row r="260" spans="1:8" ht="25.2" customHeight="1" x14ac:dyDescent="0.25">
      <c r="B260" s="87" t="s">
        <v>114</v>
      </c>
      <c r="C260" s="191"/>
      <c r="D260" s="191"/>
      <c r="E260" s="93" t="s">
        <v>115</v>
      </c>
      <c r="F260" s="113"/>
    </row>
    <row r="262" spans="1:8" x14ac:dyDescent="0.25">
      <c r="A262" s="189" t="s">
        <v>116</v>
      </c>
      <c r="B262" s="189"/>
      <c r="C262" s="189"/>
      <c r="D262" s="189"/>
      <c r="E262" s="189"/>
      <c r="F262" s="189"/>
      <c r="G262" s="98"/>
      <c r="H262" s="98"/>
    </row>
    <row r="263" spans="1:8" ht="25.2" customHeight="1" x14ac:dyDescent="0.25">
      <c r="B263" s="93" t="s">
        <v>94</v>
      </c>
      <c r="C263" s="96" t="s">
        <v>124</v>
      </c>
      <c r="D263" s="87" t="s">
        <v>117</v>
      </c>
      <c r="E263" s="190"/>
      <c r="F263" s="190"/>
      <c r="G263" s="103"/>
      <c r="H263" s="103"/>
    </row>
    <row r="264" spans="1:8" ht="25.2" customHeight="1" x14ac:dyDescent="0.25">
      <c r="B264" s="93" t="s">
        <v>95</v>
      </c>
      <c r="C264" s="111" t="str">
        <f>+$G241</f>
        <v>ANSERMA</v>
      </c>
      <c r="D264" s="87" t="s">
        <v>118</v>
      </c>
      <c r="E264" s="190"/>
      <c r="F264" s="190"/>
      <c r="G264" s="103"/>
      <c r="H264" s="103"/>
    </row>
    <row r="265" spans="1:8" ht="25.2" customHeight="1" x14ac:dyDescent="0.25">
      <c r="B265" s="93" t="s">
        <v>119</v>
      </c>
      <c r="C265" s="112"/>
      <c r="D265" s="87" t="s">
        <v>153</v>
      </c>
      <c r="E265" s="205" t="str">
        <f>+VLOOKUP($G241,$K$2:$M$15,3,FALSE)</f>
        <v>CRA 4 # 24 - 103</v>
      </c>
      <c r="F265" s="205"/>
    </row>
    <row r="266" spans="1:8" ht="25.2" customHeight="1" x14ac:dyDescent="0.25">
      <c r="B266" s="93" t="s">
        <v>120</v>
      </c>
      <c r="C266" s="112"/>
    </row>
    <row r="268" spans="1:8" x14ac:dyDescent="0.25">
      <c r="A268" s="189" t="s">
        <v>121</v>
      </c>
      <c r="B268" s="189"/>
      <c r="C268" s="192"/>
      <c r="D268" s="192"/>
      <c r="E268" s="192"/>
      <c r="F268" s="189"/>
      <c r="G268" s="98"/>
      <c r="H268" s="98"/>
    </row>
    <row r="269" spans="1:8" ht="25.2" customHeight="1" x14ac:dyDescent="0.25">
      <c r="B269" s="93" t="s">
        <v>158</v>
      </c>
      <c r="C269" s="193" t="s">
        <v>171</v>
      </c>
      <c r="D269" s="194"/>
      <c r="E269" s="195"/>
    </row>
    <row r="270" spans="1:8" ht="25.2" customHeight="1" x14ac:dyDescent="0.25">
      <c r="B270" s="87" t="s">
        <v>113</v>
      </c>
      <c r="C270" s="199">
        <v>1298501</v>
      </c>
      <c r="D270" s="194"/>
      <c r="E270" s="195"/>
    </row>
    <row r="271" spans="1:8" ht="25.2" customHeight="1" x14ac:dyDescent="0.25">
      <c r="B271" s="87" t="s">
        <v>122</v>
      </c>
      <c r="C271" s="193" t="s">
        <v>159</v>
      </c>
      <c r="D271" s="194"/>
      <c r="E271" s="195"/>
    </row>
    <row r="272" spans="1:8" ht="25.2" customHeight="1" x14ac:dyDescent="0.25">
      <c r="B272" s="87" t="s">
        <v>123</v>
      </c>
      <c r="C272" s="196"/>
      <c r="D272" s="197"/>
      <c r="E272" s="198"/>
    </row>
    <row r="274" spans="1:9" ht="15.75" thickBot="1" x14ac:dyDescent="0.3">
      <c r="I274" s="95" t="s">
        <v>88</v>
      </c>
    </row>
    <row r="275" spans="1:9" ht="23.4" customHeight="1" thickBot="1" x14ac:dyDescent="0.3">
      <c r="B275" s="209" t="str">
        <f>+$B$3</f>
        <v>CÓDIGO INVIMA: 170AC</v>
      </c>
      <c r="C275" s="200" t="s">
        <v>89</v>
      </c>
      <c r="D275" s="200"/>
      <c r="E275" s="201" t="s">
        <v>90</v>
      </c>
      <c r="F275" s="201"/>
      <c r="G275" s="94" t="s">
        <v>33</v>
      </c>
      <c r="H275" s="109" t="str">
        <f>+$H$3</f>
        <v>DORA1400</v>
      </c>
      <c r="I275" s="108" t="str">
        <f>+VLOOKUP($G275,$K$2:$M$15,2,FALSE)&amp;$H$3</f>
        <v>9DORA1400</v>
      </c>
    </row>
    <row r="276" spans="1:9" ht="25.2" customHeight="1" thickBot="1" x14ac:dyDescent="0.3">
      <c r="B276" s="210"/>
      <c r="C276" s="202"/>
      <c r="D276" s="202"/>
      <c r="E276" s="203" t="str">
        <f>+$F$7&amp;"-"&amp;$I275&amp;"-"&amp;2025</f>
        <v>170AC-9DORA1400-2025</v>
      </c>
      <c r="F276" s="203"/>
      <c r="G276" s="138">
        <f>+VLOOKUP($G275,$K$2:$M$15,2,FALSE)</f>
        <v>9</v>
      </c>
      <c r="H276" s="97"/>
    </row>
    <row r="278" spans="1:9" x14ac:dyDescent="0.25">
      <c r="A278" s="189" t="s">
        <v>91</v>
      </c>
      <c r="B278" s="189"/>
      <c r="C278" s="189"/>
      <c r="D278" s="189"/>
      <c r="E278" s="189"/>
      <c r="F278" s="189"/>
      <c r="G278" s="98"/>
      <c r="H278" s="98"/>
    </row>
    <row r="279" spans="1:9" ht="29.95" customHeight="1" x14ac:dyDescent="0.25">
      <c r="B279" s="87" t="s">
        <v>92</v>
      </c>
      <c r="C279" s="204" t="s">
        <v>135</v>
      </c>
      <c r="D279" s="204"/>
      <c r="E279" s="87" t="s">
        <v>93</v>
      </c>
      <c r="F279" s="88" t="s">
        <v>138</v>
      </c>
    </row>
    <row r="280" spans="1:9" ht="29.95" customHeight="1" x14ac:dyDescent="0.25">
      <c r="B280" s="87" t="s">
        <v>94</v>
      </c>
      <c r="C280" s="204" t="s">
        <v>124</v>
      </c>
      <c r="D280" s="204"/>
      <c r="E280" s="87" t="s">
        <v>95</v>
      </c>
      <c r="F280" s="88" t="s">
        <v>23</v>
      </c>
    </row>
    <row r="281" spans="1:9" ht="29.95" customHeight="1" x14ac:dyDescent="0.25">
      <c r="B281" s="87" t="s">
        <v>96</v>
      </c>
      <c r="C281" s="208" t="s">
        <v>136</v>
      </c>
      <c r="D281" s="208"/>
      <c r="E281" s="87" t="s">
        <v>97</v>
      </c>
      <c r="F281" s="114" t="s">
        <v>125</v>
      </c>
    </row>
    <row r="282" spans="1:9" ht="29.95" customHeight="1" x14ac:dyDescent="0.25">
      <c r="B282" s="87" t="s">
        <v>98</v>
      </c>
      <c r="C282" s="191"/>
      <c r="D282" s="191"/>
      <c r="E282" s="87" t="s">
        <v>99</v>
      </c>
      <c r="F282" s="110"/>
    </row>
    <row r="283" spans="1:9" x14ac:dyDescent="0.25">
      <c r="I283" s="105"/>
    </row>
    <row r="285" spans="1:9" x14ac:dyDescent="0.25">
      <c r="A285" s="189" t="s">
        <v>100</v>
      </c>
      <c r="B285" s="189"/>
      <c r="C285" s="189"/>
      <c r="D285" s="189"/>
      <c r="E285" s="192"/>
      <c r="F285" s="192"/>
      <c r="G285" s="98"/>
      <c r="H285" s="98"/>
    </row>
    <row r="286" spans="1:9" ht="30.15" x14ac:dyDescent="0.25">
      <c r="A286" s="87" t="s">
        <v>101</v>
      </c>
      <c r="B286" s="89" t="s">
        <v>102</v>
      </c>
      <c r="C286" s="89" t="s">
        <v>133</v>
      </c>
      <c r="D286" s="89" t="s">
        <v>104</v>
      </c>
      <c r="E286" s="89" t="s">
        <v>105</v>
      </c>
      <c r="F286" s="89" t="s">
        <v>106</v>
      </c>
      <c r="G286" s="99"/>
      <c r="H286" s="99"/>
    </row>
    <row r="287" spans="1:9" ht="20.149999999999999" customHeight="1" x14ac:dyDescent="0.25">
      <c r="A287" s="90">
        <v>1</v>
      </c>
      <c r="B287" s="91" t="s">
        <v>131</v>
      </c>
      <c r="C287" s="88" t="str">
        <f>+$I$6</f>
        <v>Pechuga</v>
      </c>
      <c r="D287" s="91"/>
      <c r="E287" s="88">
        <f>+VLOOKUP($G276,CÁRNICOS!$BW$85:$CA$103,5,FALSE)</f>
        <v>8.9130000000000003</v>
      </c>
      <c r="F287" s="92"/>
      <c r="G287" s="100"/>
      <c r="H287" s="100"/>
    </row>
    <row r="288" spans="1:9" ht="20.149999999999999" customHeight="1" x14ac:dyDescent="0.25">
      <c r="A288" s="90">
        <v>2</v>
      </c>
      <c r="B288" s="91" t="s">
        <v>108</v>
      </c>
      <c r="C288" s="91"/>
      <c r="D288" s="91"/>
      <c r="E288" s="91"/>
      <c r="F288" s="91"/>
      <c r="G288" s="100"/>
      <c r="H288" s="100"/>
    </row>
    <row r="290" spans="1:8" x14ac:dyDescent="0.25">
      <c r="A290" s="189" t="s">
        <v>109</v>
      </c>
      <c r="B290" s="189"/>
      <c r="C290" s="189"/>
      <c r="D290" s="189"/>
      <c r="E290" s="192"/>
      <c r="F290" s="192"/>
      <c r="G290" s="98"/>
      <c r="H290" s="98"/>
    </row>
    <row r="291" spans="1:8" ht="25.2" customHeight="1" x14ac:dyDescent="0.25">
      <c r="B291" s="87" t="s">
        <v>110</v>
      </c>
      <c r="C291" s="92"/>
      <c r="D291" s="87" t="s">
        <v>111</v>
      </c>
      <c r="E291" s="206"/>
      <c r="F291" s="206"/>
      <c r="G291" s="101"/>
      <c r="H291" s="101"/>
    </row>
    <row r="292" spans="1:8" ht="25.2" customHeight="1" x14ac:dyDescent="0.25">
      <c r="B292" s="87" t="s">
        <v>112</v>
      </c>
      <c r="C292" s="92"/>
      <c r="D292" s="87" t="s">
        <v>113</v>
      </c>
      <c r="E292" s="206"/>
      <c r="F292" s="206"/>
      <c r="G292" s="101"/>
      <c r="H292" s="101"/>
    </row>
    <row r="293" spans="1:8" ht="25.2" customHeight="1" x14ac:dyDescent="0.25">
      <c r="D293" s="87" t="s">
        <v>97</v>
      </c>
      <c r="E293" s="207"/>
      <c r="F293" s="207"/>
      <c r="G293" s="102"/>
      <c r="H293" s="102"/>
    </row>
    <row r="294" spans="1:8" ht="25.2" customHeight="1" x14ac:dyDescent="0.25">
      <c r="B294" s="87" t="s">
        <v>114</v>
      </c>
      <c r="C294" s="191"/>
      <c r="D294" s="191"/>
      <c r="E294" s="93" t="s">
        <v>115</v>
      </c>
      <c r="F294" s="113"/>
    </row>
    <row r="296" spans="1:8" x14ac:dyDescent="0.25">
      <c r="A296" s="189" t="s">
        <v>116</v>
      </c>
      <c r="B296" s="189"/>
      <c r="C296" s="189"/>
      <c r="D296" s="189"/>
      <c r="E296" s="189"/>
      <c r="F296" s="189"/>
      <c r="G296" s="98"/>
      <c r="H296" s="98"/>
    </row>
    <row r="297" spans="1:8" ht="25.2" customHeight="1" x14ac:dyDescent="0.25">
      <c r="B297" s="93" t="s">
        <v>94</v>
      </c>
      <c r="C297" s="96" t="s">
        <v>124</v>
      </c>
      <c r="D297" s="87" t="s">
        <v>117</v>
      </c>
      <c r="E297" s="190"/>
      <c r="F297" s="190"/>
      <c r="G297" s="103"/>
      <c r="H297" s="103"/>
    </row>
    <row r="298" spans="1:8" ht="25.2" customHeight="1" x14ac:dyDescent="0.25">
      <c r="B298" s="93" t="s">
        <v>95</v>
      </c>
      <c r="C298" s="111" t="str">
        <f>+$G275</f>
        <v>BELALCÁZAR</v>
      </c>
      <c r="D298" s="87" t="s">
        <v>118</v>
      </c>
      <c r="E298" s="190"/>
      <c r="F298" s="190"/>
      <c r="G298" s="103"/>
      <c r="H298" s="103"/>
    </row>
    <row r="299" spans="1:8" ht="25.2" customHeight="1" x14ac:dyDescent="0.25">
      <c r="B299" s="93" t="s">
        <v>119</v>
      </c>
      <c r="C299" s="112"/>
      <c r="D299" s="87" t="s">
        <v>153</v>
      </c>
      <c r="E299" s="205" t="str">
        <f>+VLOOKUP($G275,$K$2:$M$15,3,FALSE)</f>
        <v>LA HABANA, MANZANA 1 CASA 8</v>
      </c>
      <c r="F299" s="205"/>
    </row>
    <row r="300" spans="1:8" ht="25.2" customHeight="1" x14ac:dyDescent="0.25">
      <c r="B300" s="93" t="s">
        <v>120</v>
      </c>
      <c r="C300" s="112"/>
    </row>
    <row r="302" spans="1:8" x14ac:dyDescent="0.25">
      <c r="A302" s="189" t="s">
        <v>121</v>
      </c>
      <c r="B302" s="189"/>
      <c r="C302" s="192"/>
      <c r="D302" s="192"/>
      <c r="E302" s="192"/>
      <c r="F302" s="189"/>
      <c r="G302" s="98"/>
      <c r="H302" s="98"/>
    </row>
    <row r="303" spans="1:8" ht="25.2" customHeight="1" x14ac:dyDescent="0.25">
      <c r="B303" s="93" t="s">
        <v>158</v>
      </c>
      <c r="C303" s="193" t="s">
        <v>171</v>
      </c>
      <c r="D303" s="194"/>
      <c r="E303" s="195"/>
    </row>
    <row r="304" spans="1:8" ht="25.2" customHeight="1" x14ac:dyDescent="0.25">
      <c r="B304" s="87" t="s">
        <v>113</v>
      </c>
      <c r="C304" s="199">
        <v>1298501</v>
      </c>
      <c r="D304" s="194"/>
      <c r="E304" s="195"/>
    </row>
    <row r="305" spans="1:9" ht="25.2" customHeight="1" x14ac:dyDescent="0.25">
      <c r="B305" s="87" t="s">
        <v>122</v>
      </c>
      <c r="C305" s="193" t="s">
        <v>159</v>
      </c>
      <c r="D305" s="194"/>
      <c r="E305" s="195"/>
    </row>
    <row r="306" spans="1:9" ht="25.2" customHeight="1" x14ac:dyDescent="0.25">
      <c r="B306" s="87" t="s">
        <v>123</v>
      </c>
      <c r="C306" s="196"/>
      <c r="D306" s="197"/>
      <c r="E306" s="198"/>
    </row>
    <row r="308" spans="1:9" ht="15.75" thickBot="1" x14ac:dyDescent="0.3">
      <c r="I308" s="95" t="s">
        <v>88</v>
      </c>
    </row>
    <row r="309" spans="1:9" ht="23.4" customHeight="1" thickBot="1" x14ac:dyDescent="0.3">
      <c r="B309" s="209" t="str">
        <f>+$B$3</f>
        <v>CÓDIGO INVIMA: 170AC</v>
      </c>
      <c r="C309" s="200" t="s">
        <v>89</v>
      </c>
      <c r="D309" s="200"/>
      <c r="E309" s="201" t="s">
        <v>90</v>
      </c>
      <c r="F309" s="201"/>
      <c r="G309" s="94" t="s">
        <v>38</v>
      </c>
      <c r="H309" s="109" t="str">
        <f>+$H$3</f>
        <v>DORA1400</v>
      </c>
      <c r="I309" s="108" t="str">
        <f>+VLOOKUP($G309,$K$2:$M$15,2,FALSE)&amp;$H$3</f>
        <v>10DORA1400</v>
      </c>
    </row>
    <row r="310" spans="1:9" ht="25.2" customHeight="1" thickBot="1" x14ac:dyDescent="0.3">
      <c r="B310" s="210"/>
      <c r="C310" s="202"/>
      <c r="D310" s="202"/>
      <c r="E310" s="203" t="str">
        <f>+$F$7&amp;"-"&amp;$I309&amp;"-"&amp;2025</f>
        <v>170AC-10DORA1400-2025</v>
      </c>
      <c r="F310" s="203"/>
      <c r="G310" s="138">
        <f>+VLOOKUP($G309,$K$2:$M$15,2,FALSE)</f>
        <v>10</v>
      </c>
      <c r="H310" s="97"/>
    </row>
    <row r="312" spans="1:9" x14ac:dyDescent="0.25">
      <c r="A312" s="189" t="s">
        <v>91</v>
      </c>
      <c r="B312" s="189"/>
      <c r="C312" s="189"/>
      <c r="D312" s="189"/>
      <c r="E312" s="189"/>
      <c r="F312" s="189"/>
      <c r="G312" s="98"/>
      <c r="H312" s="98"/>
    </row>
    <row r="313" spans="1:9" ht="29.95" customHeight="1" x14ac:dyDescent="0.25">
      <c r="B313" s="87" t="s">
        <v>92</v>
      </c>
      <c r="C313" s="204" t="s">
        <v>135</v>
      </c>
      <c r="D313" s="204"/>
      <c r="E313" s="87" t="s">
        <v>93</v>
      </c>
      <c r="F313" s="88" t="s">
        <v>138</v>
      </c>
    </row>
    <row r="314" spans="1:9" ht="29.95" customHeight="1" x14ac:dyDescent="0.25">
      <c r="B314" s="87" t="s">
        <v>94</v>
      </c>
      <c r="C314" s="204" t="s">
        <v>124</v>
      </c>
      <c r="D314" s="204"/>
      <c r="E314" s="87" t="s">
        <v>95</v>
      </c>
      <c r="F314" s="88" t="s">
        <v>23</v>
      </c>
    </row>
    <row r="315" spans="1:9" ht="29.95" customHeight="1" x14ac:dyDescent="0.25">
      <c r="B315" s="87" t="s">
        <v>96</v>
      </c>
      <c r="C315" s="208" t="s">
        <v>136</v>
      </c>
      <c r="D315" s="208"/>
      <c r="E315" s="87" t="s">
        <v>97</v>
      </c>
      <c r="F315" s="114" t="s">
        <v>125</v>
      </c>
    </row>
    <row r="316" spans="1:9" ht="29.95" customHeight="1" x14ac:dyDescent="0.25">
      <c r="B316" s="87" t="s">
        <v>98</v>
      </c>
      <c r="C316" s="191"/>
      <c r="D316" s="191"/>
      <c r="E316" s="87" t="s">
        <v>99</v>
      </c>
      <c r="F316" s="110"/>
    </row>
    <row r="317" spans="1:9" x14ac:dyDescent="0.25">
      <c r="I317" s="105"/>
    </row>
    <row r="319" spans="1:9" x14ac:dyDescent="0.25">
      <c r="A319" s="189" t="s">
        <v>100</v>
      </c>
      <c r="B319" s="189"/>
      <c r="C319" s="189"/>
      <c r="D319" s="189"/>
      <c r="E319" s="192"/>
      <c r="F319" s="192"/>
      <c r="G319" s="98"/>
      <c r="H319" s="98"/>
    </row>
    <row r="320" spans="1:9" ht="30.15" x14ac:dyDescent="0.25">
      <c r="A320" s="87" t="s">
        <v>101</v>
      </c>
      <c r="B320" s="89" t="s">
        <v>102</v>
      </c>
      <c r="C320" s="89" t="s">
        <v>133</v>
      </c>
      <c r="D320" s="89" t="s">
        <v>104</v>
      </c>
      <c r="E320" s="89" t="s">
        <v>105</v>
      </c>
      <c r="F320" s="89" t="s">
        <v>106</v>
      </c>
      <c r="G320" s="99"/>
      <c r="H320" s="99"/>
    </row>
    <row r="321" spans="1:8" ht="20.149999999999999" customHeight="1" x14ac:dyDescent="0.25">
      <c r="A321" s="90">
        <v>1</v>
      </c>
      <c r="B321" s="91" t="s">
        <v>131</v>
      </c>
      <c r="C321" s="88" t="str">
        <f>+$I$6</f>
        <v>Pechuga</v>
      </c>
      <c r="D321" s="91"/>
      <c r="E321" s="88">
        <f>+VLOOKUP($G310,CÁRNICOS!$BW$85:$CA$103,5,FALSE)</f>
        <v>14.758000000000001</v>
      </c>
      <c r="F321" s="92"/>
      <c r="G321" s="100"/>
      <c r="H321" s="100"/>
    </row>
    <row r="322" spans="1:8" ht="20.149999999999999" customHeight="1" x14ac:dyDescent="0.25">
      <c r="A322" s="90">
        <v>2</v>
      </c>
      <c r="B322" s="91" t="s">
        <v>108</v>
      </c>
      <c r="C322" s="91"/>
      <c r="D322" s="91"/>
      <c r="E322" s="91"/>
      <c r="F322" s="91"/>
      <c r="G322" s="100"/>
      <c r="H322" s="100"/>
    </row>
    <row r="324" spans="1:8" x14ac:dyDescent="0.25">
      <c r="A324" s="189" t="s">
        <v>109</v>
      </c>
      <c r="B324" s="189"/>
      <c r="C324" s="189"/>
      <c r="D324" s="189"/>
      <c r="E324" s="192"/>
      <c r="F324" s="192"/>
      <c r="G324" s="98"/>
      <c r="H324" s="98"/>
    </row>
    <row r="325" spans="1:8" ht="25.2" customHeight="1" x14ac:dyDescent="0.25">
      <c r="B325" s="87" t="s">
        <v>110</v>
      </c>
      <c r="C325" s="92"/>
      <c r="D325" s="87" t="s">
        <v>111</v>
      </c>
      <c r="E325" s="206"/>
      <c r="F325" s="206"/>
      <c r="G325" s="101"/>
      <c r="H325" s="101"/>
    </row>
    <row r="326" spans="1:8" ht="25.2" customHeight="1" x14ac:dyDescent="0.25">
      <c r="B326" s="87" t="s">
        <v>112</v>
      </c>
      <c r="C326" s="92"/>
      <c r="D326" s="87" t="s">
        <v>113</v>
      </c>
      <c r="E326" s="206"/>
      <c r="F326" s="206"/>
      <c r="G326" s="101"/>
      <c r="H326" s="101"/>
    </row>
    <row r="327" spans="1:8" ht="25.2" customHeight="1" x14ac:dyDescent="0.25">
      <c r="D327" s="87" t="s">
        <v>97</v>
      </c>
      <c r="E327" s="207"/>
      <c r="F327" s="207"/>
      <c r="G327" s="102"/>
      <c r="H327" s="102"/>
    </row>
    <row r="328" spans="1:8" ht="25.2" customHeight="1" x14ac:dyDescent="0.25">
      <c r="B328" s="87" t="s">
        <v>114</v>
      </c>
      <c r="C328" s="191"/>
      <c r="D328" s="191"/>
      <c r="E328" s="93" t="s">
        <v>115</v>
      </c>
      <c r="F328" s="113"/>
    </row>
    <row r="330" spans="1:8" x14ac:dyDescent="0.25">
      <c r="A330" s="189" t="s">
        <v>116</v>
      </c>
      <c r="B330" s="189"/>
      <c r="C330" s="189"/>
      <c r="D330" s="189"/>
      <c r="E330" s="189"/>
      <c r="F330" s="189"/>
      <c r="G330" s="98"/>
      <c r="H330" s="98"/>
    </row>
    <row r="331" spans="1:8" ht="25.2" customHeight="1" x14ac:dyDescent="0.25">
      <c r="B331" s="93" t="s">
        <v>94</v>
      </c>
      <c r="C331" s="96" t="s">
        <v>124</v>
      </c>
      <c r="D331" s="87" t="s">
        <v>117</v>
      </c>
      <c r="E331" s="190"/>
      <c r="F331" s="190"/>
      <c r="G331" s="103"/>
      <c r="H331" s="103"/>
    </row>
    <row r="332" spans="1:8" ht="25.2" customHeight="1" x14ac:dyDescent="0.25">
      <c r="B332" s="93" t="s">
        <v>95</v>
      </c>
      <c r="C332" s="111" t="str">
        <f>+$G309</f>
        <v>AGUADAS</v>
      </c>
      <c r="D332" s="87" t="s">
        <v>118</v>
      </c>
      <c r="E332" s="190"/>
      <c r="F332" s="190"/>
      <c r="G332" s="103"/>
      <c r="H332" s="103"/>
    </row>
    <row r="333" spans="1:8" ht="25.2" customHeight="1" x14ac:dyDescent="0.25">
      <c r="B333" s="93" t="s">
        <v>119</v>
      </c>
      <c r="C333" s="112"/>
      <c r="D333" s="87" t="s">
        <v>153</v>
      </c>
      <c r="E333" s="205" t="str">
        <f>+VLOOKUP($G309,$K$2:$M$15,3,FALSE)</f>
        <v>CRA 7 ENTRE CALLE 13 Y 14</v>
      </c>
      <c r="F333" s="205"/>
    </row>
    <row r="334" spans="1:8" ht="25.2" customHeight="1" x14ac:dyDescent="0.25">
      <c r="B334" s="93" t="s">
        <v>120</v>
      </c>
      <c r="C334" s="112"/>
    </row>
    <row r="336" spans="1:8" x14ac:dyDescent="0.25">
      <c r="A336" s="189" t="s">
        <v>121</v>
      </c>
      <c r="B336" s="189"/>
      <c r="C336" s="192"/>
      <c r="D336" s="192"/>
      <c r="E336" s="192"/>
      <c r="F336" s="189"/>
      <c r="G336" s="98"/>
      <c r="H336" s="98"/>
    </row>
    <row r="337" spans="1:9" ht="25.2" customHeight="1" x14ac:dyDescent="0.25">
      <c r="B337" s="93" t="s">
        <v>158</v>
      </c>
      <c r="C337" s="193" t="s">
        <v>171</v>
      </c>
      <c r="D337" s="194"/>
      <c r="E337" s="195"/>
    </row>
    <row r="338" spans="1:9" ht="25.2" customHeight="1" x14ac:dyDescent="0.25">
      <c r="B338" s="87" t="s">
        <v>113</v>
      </c>
      <c r="C338" s="199">
        <v>1298501</v>
      </c>
      <c r="D338" s="194"/>
      <c r="E338" s="195"/>
    </row>
    <row r="339" spans="1:9" ht="25.2" customHeight="1" x14ac:dyDescent="0.25">
      <c r="B339" s="87" t="s">
        <v>122</v>
      </c>
      <c r="C339" s="193" t="s">
        <v>159</v>
      </c>
      <c r="D339" s="194"/>
      <c r="E339" s="195"/>
    </row>
    <row r="340" spans="1:9" ht="25.2" customHeight="1" x14ac:dyDescent="0.25">
      <c r="B340" s="87" t="s">
        <v>123</v>
      </c>
      <c r="C340" s="196"/>
      <c r="D340" s="197"/>
      <c r="E340" s="198"/>
    </row>
    <row r="342" spans="1:9" ht="15.75" thickBot="1" x14ac:dyDescent="0.3">
      <c r="I342" s="95" t="s">
        <v>88</v>
      </c>
    </row>
    <row r="343" spans="1:9" ht="23.4" customHeight="1" thickBot="1" x14ac:dyDescent="0.3">
      <c r="B343" s="209" t="str">
        <f>+$B$3</f>
        <v>CÓDIGO INVIMA: 170AC</v>
      </c>
      <c r="C343" s="200" t="s">
        <v>89</v>
      </c>
      <c r="D343" s="200"/>
      <c r="E343" s="201" t="s">
        <v>90</v>
      </c>
      <c r="F343" s="201"/>
      <c r="G343" s="94" t="s">
        <v>43</v>
      </c>
      <c r="H343" s="109" t="str">
        <f>+$H$3</f>
        <v>DORA1400</v>
      </c>
      <c r="I343" s="108" t="str">
        <f>+VLOOKUP($G343,$K$2:$M$15,2,FALSE)&amp;$H$3</f>
        <v>11DORA1400</v>
      </c>
    </row>
    <row r="344" spans="1:9" ht="25.2" customHeight="1" thickBot="1" x14ac:dyDescent="0.3">
      <c r="B344" s="210"/>
      <c r="C344" s="202"/>
      <c r="D344" s="202"/>
      <c r="E344" s="203" t="str">
        <f>+$F$7&amp;"-"&amp;$I343&amp;"-"&amp;2025</f>
        <v>170AC-11DORA1400-2025</v>
      </c>
      <c r="F344" s="203"/>
      <c r="G344" s="138">
        <f>+VLOOKUP($G343,$K$2:$M$15,2,FALSE)</f>
        <v>11</v>
      </c>
      <c r="H344" s="97"/>
    </row>
    <row r="346" spans="1:9" x14ac:dyDescent="0.25">
      <c r="A346" s="189" t="s">
        <v>91</v>
      </c>
      <c r="B346" s="189"/>
      <c r="C346" s="189"/>
      <c r="D346" s="189"/>
      <c r="E346" s="189"/>
      <c r="F346" s="189"/>
      <c r="G346" s="98"/>
      <c r="H346" s="98"/>
    </row>
    <row r="347" spans="1:9" ht="29.95" customHeight="1" x14ac:dyDescent="0.25">
      <c r="B347" s="87" t="s">
        <v>92</v>
      </c>
      <c r="C347" s="204" t="s">
        <v>135</v>
      </c>
      <c r="D347" s="204"/>
      <c r="E347" s="87" t="s">
        <v>93</v>
      </c>
      <c r="F347" s="88" t="s">
        <v>138</v>
      </c>
    </row>
    <row r="348" spans="1:9" ht="29.95" customHeight="1" x14ac:dyDescent="0.25">
      <c r="B348" s="87" t="s">
        <v>94</v>
      </c>
      <c r="C348" s="204" t="s">
        <v>124</v>
      </c>
      <c r="D348" s="204"/>
      <c r="E348" s="87" t="s">
        <v>95</v>
      </c>
      <c r="F348" s="88" t="s">
        <v>23</v>
      </c>
    </row>
    <row r="349" spans="1:9" ht="29.95" customHeight="1" x14ac:dyDescent="0.25">
      <c r="B349" s="87" t="s">
        <v>96</v>
      </c>
      <c r="C349" s="208" t="s">
        <v>136</v>
      </c>
      <c r="D349" s="208"/>
      <c r="E349" s="87" t="s">
        <v>97</v>
      </c>
      <c r="F349" s="114" t="s">
        <v>125</v>
      </c>
    </row>
    <row r="350" spans="1:9" ht="29.95" customHeight="1" x14ac:dyDescent="0.25">
      <c r="B350" s="87" t="s">
        <v>98</v>
      </c>
      <c r="C350" s="191"/>
      <c r="D350" s="191"/>
      <c r="E350" s="87" t="s">
        <v>99</v>
      </c>
      <c r="F350" s="110"/>
    </row>
    <row r="351" spans="1:9" x14ac:dyDescent="0.25">
      <c r="I351" s="105"/>
    </row>
    <row r="353" spans="1:8" x14ac:dyDescent="0.25">
      <c r="A353" s="189" t="s">
        <v>100</v>
      </c>
      <c r="B353" s="189"/>
      <c r="C353" s="189"/>
      <c r="D353" s="189"/>
      <c r="E353" s="192"/>
      <c r="F353" s="192"/>
      <c r="G353" s="98"/>
      <c r="H353" s="98"/>
    </row>
    <row r="354" spans="1:8" ht="30.15" x14ac:dyDescent="0.25">
      <c r="A354" s="87" t="s">
        <v>101</v>
      </c>
      <c r="B354" s="89" t="s">
        <v>102</v>
      </c>
      <c r="C354" s="89" t="s">
        <v>133</v>
      </c>
      <c r="D354" s="89" t="s">
        <v>104</v>
      </c>
      <c r="E354" s="89" t="s">
        <v>105</v>
      </c>
      <c r="F354" s="89" t="s">
        <v>106</v>
      </c>
      <c r="G354" s="99"/>
      <c r="H354" s="99"/>
    </row>
    <row r="355" spans="1:8" ht="20.149999999999999" customHeight="1" x14ac:dyDescent="0.25">
      <c r="A355" s="90">
        <v>1</v>
      </c>
      <c r="B355" s="91" t="s">
        <v>131</v>
      </c>
      <c r="C355" s="88" t="str">
        <f>+$I$6</f>
        <v>Pechuga</v>
      </c>
      <c r="D355" s="91"/>
      <c r="E355" s="88">
        <f>+VLOOKUP($G344,CÁRNICOS!$BW$85:$CA$103,5,FALSE)</f>
        <v>6.8170000000000002</v>
      </c>
      <c r="F355" s="92"/>
      <c r="G355" s="100"/>
      <c r="H355" s="100"/>
    </row>
    <row r="356" spans="1:8" ht="20.149999999999999" customHeight="1" x14ac:dyDescent="0.25">
      <c r="A356" s="90">
        <v>2</v>
      </c>
      <c r="B356" s="91" t="s">
        <v>108</v>
      </c>
      <c r="C356" s="91"/>
      <c r="D356" s="91"/>
      <c r="E356" s="91"/>
      <c r="F356" s="91"/>
      <c r="G356" s="100"/>
      <c r="H356" s="100"/>
    </row>
    <row r="358" spans="1:8" x14ac:dyDescent="0.25">
      <c r="A358" s="189" t="s">
        <v>109</v>
      </c>
      <c r="B358" s="189"/>
      <c r="C358" s="189"/>
      <c r="D358" s="189"/>
      <c r="E358" s="192"/>
      <c r="F358" s="192"/>
      <c r="G358" s="98"/>
      <c r="H358" s="98"/>
    </row>
    <row r="359" spans="1:8" ht="25.2" customHeight="1" x14ac:dyDescent="0.25">
      <c r="B359" s="87" t="s">
        <v>110</v>
      </c>
      <c r="C359" s="92"/>
      <c r="D359" s="87" t="s">
        <v>111</v>
      </c>
      <c r="E359" s="206"/>
      <c r="F359" s="206"/>
      <c r="G359" s="101"/>
      <c r="H359" s="101"/>
    </row>
    <row r="360" spans="1:8" ht="25.2" customHeight="1" x14ac:dyDescent="0.25">
      <c r="B360" s="87" t="s">
        <v>112</v>
      </c>
      <c r="C360" s="92"/>
      <c r="D360" s="87" t="s">
        <v>113</v>
      </c>
      <c r="E360" s="206"/>
      <c r="F360" s="206"/>
      <c r="G360" s="101"/>
      <c r="H360" s="101"/>
    </row>
    <row r="361" spans="1:8" ht="25.2" customHeight="1" x14ac:dyDescent="0.25">
      <c r="D361" s="87" t="s">
        <v>97</v>
      </c>
      <c r="E361" s="207"/>
      <c r="F361" s="207"/>
      <c r="G361" s="102"/>
      <c r="H361" s="102"/>
    </row>
    <row r="362" spans="1:8" ht="25.2" customHeight="1" x14ac:dyDescent="0.25">
      <c r="B362" s="87" t="s">
        <v>114</v>
      </c>
      <c r="C362" s="191"/>
      <c r="D362" s="191"/>
      <c r="E362" s="93" t="s">
        <v>115</v>
      </c>
      <c r="F362" s="113"/>
    </row>
    <row r="364" spans="1:8" x14ac:dyDescent="0.25">
      <c r="A364" s="189" t="s">
        <v>116</v>
      </c>
      <c r="B364" s="189"/>
      <c r="C364" s="189"/>
      <c r="D364" s="189"/>
      <c r="E364" s="189"/>
      <c r="F364" s="189"/>
      <c r="G364" s="98"/>
      <c r="H364" s="98"/>
    </row>
    <row r="365" spans="1:8" ht="25.2" customHeight="1" x14ac:dyDescent="0.25">
      <c r="B365" s="93" t="s">
        <v>94</v>
      </c>
      <c r="C365" s="96" t="s">
        <v>124</v>
      </c>
      <c r="D365" s="87" t="s">
        <v>117</v>
      </c>
      <c r="E365" s="190"/>
      <c r="F365" s="190"/>
      <c r="G365" s="103"/>
      <c r="H365" s="103"/>
    </row>
    <row r="366" spans="1:8" ht="25.2" customHeight="1" x14ac:dyDescent="0.25">
      <c r="B366" s="93" t="s">
        <v>95</v>
      </c>
      <c r="C366" s="111" t="str">
        <f>+$G343</f>
        <v>SALAMINA</v>
      </c>
      <c r="D366" s="87" t="s">
        <v>118</v>
      </c>
      <c r="E366" s="190"/>
      <c r="F366" s="190"/>
      <c r="G366" s="103"/>
      <c r="H366" s="103"/>
    </row>
    <row r="367" spans="1:8" ht="25.2" customHeight="1" x14ac:dyDescent="0.25">
      <c r="B367" s="93" t="s">
        <v>119</v>
      </c>
      <c r="C367" s="112"/>
      <c r="D367" s="87" t="s">
        <v>153</v>
      </c>
      <c r="E367" s="205" t="str">
        <f>+VLOOKUP($G343,$K$2:$M$15,3,FALSE)</f>
        <v>VDA EL CARRETERO, FINCA MATEGUADUA</v>
      </c>
      <c r="F367" s="205"/>
    </row>
    <row r="368" spans="1:8" ht="25.2" customHeight="1" x14ac:dyDescent="0.25">
      <c r="B368" s="93" t="s">
        <v>120</v>
      </c>
      <c r="C368" s="112"/>
    </row>
    <row r="370" spans="1:9" x14ac:dyDescent="0.25">
      <c r="A370" s="189" t="s">
        <v>121</v>
      </c>
      <c r="B370" s="189"/>
      <c r="C370" s="192"/>
      <c r="D370" s="192"/>
      <c r="E370" s="192"/>
      <c r="F370" s="189"/>
      <c r="G370" s="98"/>
      <c r="H370" s="98"/>
    </row>
    <row r="371" spans="1:9" ht="25.2" customHeight="1" x14ac:dyDescent="0.25">
      <c r="B371" s="93" t="s">
        <v>158</v>
      </c>
      <c r="C371" s="193" t="s">
        <v>171</v>
      </c>
      <c r="D371" s="194"/>
      <c r="E371" s="195"/>
    </row>
    <row r="372" spans="1:9" ht="25.2" customHeight="1" x14ac:dyDescent="0.25">
      <c r="B372" s="87" t="s">
        <v>113</v>
      </c>
      <c r="C372" s="199">
        <v>1298501</v>
      </c>
      <c r="D372" s="194"/>
      <c r="E372" s="195"/>
    </row>
    <row r="373" spans="1:9" ht="25.2" customHeight="1" x14ac:dyDescent="0.25">
      <c r="B373" s="87" t="s">
        <v>122</v>
      </c>
      <c r="C373" s="193" t="s">
        <v>159</v>
      </c>
      <c r="D373" s="194"/>
      <c r="E373" s="195"/>
    </row>
    <row r="374" spans="1:9" ht="25.2" customHeight="1" x14ac:dyDescent="0.25">
      <c r="B374" s="87" t="s">
        <v>123</v>
      </c>
      <c r="C374" s="196"/>
      <c r="D374" s="197"/>
      <c r="E374" s="198"/>
    </row>
    <row r="376" spans="1:9" ht="15.75" thickBot="1" x14ac:dyDescent="0.3">
      <c r="I376" s="95" t="s">
        <v>88</v>
      </c>
    </row>
    <row r="377" spans="1:9" ht="23.4" customHeight="1" thickBot="1" x14ac:dyDescent="0.3">
      <c r="B377" s="209" t="str">
        <f>+$B$3</f>
        <v>CÓDIGO INVIMA: 170AC</v>
      </c>
      <c r="C377" s="200" t="s">
        <v>89</v>
      </c>
      <c r="D377" s="200"/>
      <c r="E377" s="201" t="s">
        <v>90</v>
      </c>
      <c r="F377" s="201"/>
      <c r="G377" s="94" t="s">
        <v>45</v>
      </c>
      <c r="H377" s="109" t="str">
        <f>+$H$3</f>
        <v>DORA1400</v>
      </c>
      <c r="I377" s="108" t="str">
        <f>+VLOOKUP($G377,$K$2:$M$15,2,FALSE)&amp;$H$3</f>
        <v>12DORA1400</v>
      </c>
    </row>
    <row r="378" spans="1:9" ht="25.2" customHeight="1" thickBot="1" x14ac:dyDescent="0.3">
      <c r="B378" s="210"/>
      <c r="C378" s="202"/>
      <c r="D378" s="202"/>
      <c r="E378" s="203" t="str">
        <f>+$F$7&amp;"-"&amp;$I377&amp;"-"&amp;2025</f>
        <v>170AC-12DORA1400-2025</v>
      </c>
      <c r="F378" s="203"/>
      <c r="G378" s="138">
        <f>+VLOOKUP($G377,$K$2:$M$15,2,FALSE)</f>
        <v>12</v>
      </c>
      <c r="H378" s="97"/>
    </row>
    <row r="380" spans="1:9" x14ac:dyDescent="0.25">
      <c r="A380" s="189" t="s">
        <v>91</v>
      </c>
      <c r="B380" s="189"/>
      <c r="C380" s="189"/>
      <c r="D380" s="189"/>
      <c r="E380" s="189"/>
      <c r="F380" s="189"/>
      <c r="G380" s="98"/>
      <c r="H380" s="98"/>
    </row>
    <row r="381" spans="1:9" ht="29.95" customHeight="1" x14ac:dyDescent="0.25">
      <c r="B381" s="87" t="s">
        <v>92</v>
      </c>
      <c r="C381" s="204" t="s">
        <v>135</v>
      </c>
      <c r="D381" s="204"/>
      <c r="E381" s="87" t="s">
        <v>93</v>
      </c>
      <c r="F381" s="88" t="s">
        <v>138</v>
      </c>
    </row>
    <row r="382" spans="1:9" ht="29.95" customHeight="1" x14ac:dyDescent="0.25">
      <c r="B382" s="87" t="s">
        <v>94</v>
      </c>
      <c r="C382" s="204" t="s">
        <v>124</v>
      </c>
      <c r="D382" s="204"/>
      <c r="E382" s="87" t="s">
        <v>95</v>
      </c>
      <c r="F382" s="88" t="s">
        <v>23</v>
      </c>
    </row>
    <row r="383" spans="1:9" ht="29.95" customHeight="1" x14ac:dyDescent="0.25">
      <c r="B383" s="87" t="s">
        <v>96</v>
      </c>
      <c r="C383" s="208" t="s">
        <v>136</v>
      </c>
      <c r="D383" s="208"/>
      <c r="E383" s="87" t="s">
        <v>97</v>
      </c>
      <c r="F383" s="114" t="s">
        <v>125</v>
      </c>
    </row>
    <row r="384" spans="1:9" ht="29.95" customHeight="1" x14ac:dyDescent="0.25">
      <c r="B384" s="87" t="s">
        <v>98</v>
      </c>
      <c r="C384" s="191"/>
      <c r="D384" s="191"/>
      <c r="E384" s="87" t="s">
        <v>99</v>
      </c>
      <c r="F384" s="110"/>
    </row>
    <row r="385" spans="1:9" x14ac:dyDescent="0.25">
      <c r="I385" s="105"/>
    </row>
    <row r="387" spans="1:9" x14ac:dyDescent="0.25">
      <c r="A387" s="189" t="s">
        <v>100</v>
      </c>
      <c r="B387" s="189"/>
      <c r="C387" s="189"/>
      <c r="D387" s="189"/>
      <c r="E387" s="192"/>
      <c r="F387" s="192"/>
      <c r="G387" s="98"/>
      <c r="H387" s="98"/>
    </row>
    <row r="388" spans="1:9" ht="30.15" x14ac:dyDescent="0.25">
      <c r="A388" s="87" t="s">
        <v>101</v>
      </c>
      <c r="B388" s="89" t="s">
        <v>102</v>
      </c>
      <c r="C388" s="89" t="s">
        <v>133</v>
      </c>
      <c r="D388" s="89" t="s">
        <v>104</v>
      </c>
      <c r="E388" s="89" t="s">
        <v>105</v>
      </c>
      <c r="F388" s="89" t="s">
        <v>106</v>
      </c>
      <c r="G388" s="99"/>
      <c r="H388" s="99"/>
    </row>
    <row r="389" spans="1:9" ht="20.149999999999999" customHeight="1" x14ac:dyDescent="0.25">
      <c r="A389" s="90">
        <v>1</v>
      </c>
      <c r="B389" s="91" t="s">
        <v>131</v>
      </c>
      <c r="C389" s="88" t="str">
        <f>+$I$6</f>
        <v>Pechuga</v>
      </c>
      <c r="D389" s="91"/>
      <c r="E389" s="88">
        <f>+VLOOKUP($G378,CÁRNICOS!$BW$85:$CA$103,5,FALSE)</f>
        <v>6.8550000000000004</v>
      </c>
      <c r="F389" s="92"/>
      <c r="G389" s="100"/>
      <c r="H389" s="100"/>
    </row>
    <row r="390" spans="1:9" ht="20.149999999999999" customHeight="1" x14ac:dyDescent="0.25">
      <c r="A390" s="90">
        <v>2</v>
      </c>
      <c r="B390" s="91" t="s">
        <v>108</v>
      </c>
      <c r="C390" s="91"/>
      <c r="D390" s="91"/>
      <c r="E390" s="91"/>
      <c r="F390" s="91"/>
      <c r="G390" s="100"/>
      <c r="H390" s="100"/>
    </row>
    <row r="392" spans="1:9" x14ac:dyDescent="0.25">
      <c r="A392" s="189" t="s">
        <v>109</v>
      </c>
      <c r="B392" s="189"/>
      <c r="C392" s="189"/>
      <c r="D392" s="189"/>
      <c r="E392" s="192"/>
      <c r="F392" s="192"/>
      <c r="G392" s="98"/>
      <c r="H392" s="98"/>
    </row>
    <row r="393" spans="1:9" ht="25.2" customHeight="1" x14ac:dyDescent="0.25">
      <c r="B393" s="87" t="s">
        <v>110</v>
      </c>
      <c r="C393" s="92"/>
      <c r="D393" s="87" t="s">
        <v>111</v>
      </c>
      <c r="E393" s="206"/>
      <c r="F393" s="206"/>
      <c r="G393" s="101"/>
      <c r="H393" s="101"/>
    </row>
    <row r="394" spans="1:9" ht="25.2" customHeight="1" x14ac:dyDescent="0.25">
      <c r="B394" s="87" t="s">
        <v>112</v>
      </c>
      <c r="C394" s="92"/>
      <c r="D394" s="87" t="s">
        <v>113</v>
      </c>
      <c r="E394" s="206"/>
      <c r="F394" s="206"/>
      <c r="G394" s="101"/>
      <c r="H394" s="101"/>
    </row>
    <row r="395" spans="1:9" ht="25.2" customHeight="1" x14ac:dyDescent="0.25">
      <c r="D395" s="87" t="s">
        <v>97</v>
      </c>
      <c r="E395" s="207"/>
      <c r="F395" s="207"/>
      <c r="G395" s="102"/>
      <c r="H395" s="102"/>
    </row>
    <row r="396" spans="1:9" ht="25.2" customHeight="1" x14ac:dyDescent="0.25">
      <c r="B396" s="87" t="s">
        <v>114</v>
      </c>
      <c r="C396" s="191"/>
      <c r="D396" s="191"/>
      <c r="E396" s="93" t="s">
        <v>115</v>
      </c>
      <c r="F396" s="113"/>
    </row>
    <row r="398" spans="1:9" x14ac:dyDescent="0.25">
      <c r="A398" s="189" t="s">
        <v>116</v>
      </c>
      <c r="B398" s="189"/>
      <c r="C398" s="189"/>
      <c r="D398" s="189"/>
      <c r="E398" s="189"/>
      <c r="F398" s="189"/>
      <c r="G398" s="98"/>
      <c r="H398" s="98"/>
    </row>
    <row r="399" spans="1:9" ht="25.2" customHeight="1" x14ac:dyDescent="0.25">
      <c r="B399" s="93" t="s">
        <v>94</v>
      </c>
      <c r="C399" s="96" t="s">
        <v>124</v>
      </c>
      <c r="D399" s="87" t="s">
        <v>117</v>
      </c>
      <c r="E399" s="190"/>
      <c r="F399" s="190"/>
      <c r="G399" s="103"/>
      <c r="H399" s="103"/>
    </row>
    <row r="400" spans="1:9" ht="25.2" customHeight="1" x14ac:dyDescent="0.25">
      <c r="B400" s="93" t="s">
        <v>95</v>
      </c>
      <c r="C400" s="111" t="str">
        <f>+$G377</f>
        <v>ARANZAZU</v>
      </c>
      <c r="D400" s="87" t="s">
        <v>118</v>
      </c>
      <c r="E400" s="190"/>
      <c r="F400" s="190"/>
      <c r="G400" s="103"/>
      <c r="H400" s="103"/>
    </row>
    <row r="401" spans="1:9" ht="25.2" customHeight="1" x14ac:dyDescent="0.25">
      <c r="B401" s="93" t="s">
        <v>119</v>
      </c>
      <c r="C401" s="112"/>
      <c r="D401" s="87" t="s">
        <v>153</v>
      </c>
      <c r="E401" s="205" t="str">
        <f>+VLOOKUP($G377,$K$2:$M$15,3,FALSE)</f>
        <v>Carrera 5 #4 - 03</v>
      </c>
      <c r="F401" s="205"/>
    </row>
    <row r="402" spans="1:9" ht="25.2" customHeight="1" x14ac:dyDescent="0.25">
      <c r="B402" s="93" t="s">
        <v>120</v>
      </c>
      <c r="C402" s="112"/>
    </row>
    <row r="404" spans="1:9" x14ac:dyDescent="0.25">
      <c r="A404" s="189" t="s">
        <v>121</v>
      </c>
      <c r="B404" s="189"/>
      <c r="C404" s="192"/>
      <c r="D404" s="192"/>
      <c r="E404" s="192"/>
      <c r="F404" s="189"/>
      <c r="G404" s="98"/>
      <c r="H404" s="98"/>
    </row>
    <row r="405" spans="1:9" ht="25.2" customHeight="1" x14ac:dyDescent="0.25">
      <c r="B405" s="93" t="s">
        <v>158</v>
      </c>
      <c r="C405" s="193" t="s">
        <v>171</v>
      </c>
      <c r="D405" s="194"/>
      <c r="E405" s="195"/>
    </row>
    <row r="406" spans="1:9" ht="25.2" customHeight="1" x14ac:dyDescent="0.25">
      <c r="B406" s="87" t="s">
        <v>113</v>
      </c>
      <c r="C406" s="199">
        <v>1298501</v>
      </c>
      <c r="D406" s="194"/>
      <c r="E406" s="195"/>
    </row>
    <row r="407" spans="1:9" ht="25.2" customHeight="1" x14ac:dyDescent="0.25">
      <c r="B407" s="87" t="s">
        <v>122</v>
      </c>
      <c r="C407" s="193" t="s">
        <v>159</v>
      </c>
      <c r="D407" s="194"/>
      <c r="E407" s="195"/>
    </row>
    <row r="408" spans="1:9" ht="25.2" customHeight="1" x14ac:dyDescent="0.25">
      <c r="B408" s="87" t="s">
        <v>123</v>
      </c>
      <c r="C408" s="196"/>
      <c r="D408" s="197"/>
      <c r="E408" s="198"/>
    </row>
    <row r="410" spans="1:9" ht="15.75" thickBot="1" x14ac:dyDescent="0.3">
      <c r="I410" s="95" t="s">
        <v>88</v>
      </c>
    </row>
    <row r="411" spans="1:9" ht="23.4" customHeight="1" thickBot="1" x14ac:dyDescent="0.3">
      <c r="B411" s="209" t="str">
        <f>+$B$3</f>
        <v>CÓDIGO INVIMA: 170AC</v>
      </c>
      <c r="C411" s="200" t="s">
        <v>89</v>
      </c>
      <c r="D411" s="200"/>
      <c r="E411" s="201" t="s">
        <v>90</v>
      </c>
      <c r="F411" s="201"/>
      <c r="G411" s="94" t="s">
        <v>151</v>
      </c>
      <c r="H411" s="109" t="str">
        <f>+$H$3</f>
        <v>DORA1400</v>
      </c>
      <c r="I411" s="108" t="str">
        <f>+VLOOKUP($G411,$K$2:$M$15,2,FALSE)&amp;$H$3</f>
        <v>13DORA1400</v>
      </c>
    </row>
    <row r="412" spans="1:9" ht="25.2" customHeight="1" thickBot="1" x14ac:dyDescent="0.3">
      <c r="B412" s="210"/>
      <c r="C412" s="202"/>
      <c r="D412" s="202"/>
      <c r="E412" s="203" t="str">
        <f>+$F$7&amp;"-"&amp;$I411&amp;"-"&amp;2025</f>
        <v>170AC-13DORA1400-2025</v>
      </c>
      <c r="F412" s="203"/>
      <c r="G412" s="138">
        <f>+VLOOKUP($G411,$K$2:$M$15,2,FALSE)</f>
        <v>13</v>
      </c>
      <c r="H412" s="97"/>
    </row>
    <row r="414" spans="1:9" x14ac:dyDescent="0.25">
      <c r="A414" s="189" t="s">
        <v>91</v>
      </c>
      <c r="B414" s="189"/>
      <c r="C414" s="189"/>
      <c r="D414" s="189"/>
      <c r="E414" s="189"/>
      <c r="F414" s="189"/>
      <c r="G414" s="98"/>
      <c r="H414" s="98"/>
    </row>
    <row r="415" spans="1:9" ht="29.95" customHeight="1" x14ac:dyDescent="0.25">
      <c r="B415" s="87" t="s">
        <v>92</v>
      </c>
      <c r="C415" s="204" t="s">
        <v>135</v>
      </c>
      <c r="D415" s="204"/>
      <c r="E415" s="87" t="s">
        <v>93</v>
      </c>
      <c r="F415" s="88" t="s">
        <v>138</v>
      </c>
    </row>
    <row r="416" spans="1:9" ht="29.95" customHeight="1" x14ac:dyDescent="0.25">
      <c r="B416" s="87" t="s">
        <v>94</v>
      </c>
      <c r="C416" s="204" t="s">
        <v>124</v>
      </c>
      <c r="D416" s="204"/>
      <c r="E416" s="87" t="s">
        <v>95</v>
      </c>
      <c r="F416" s="88" t="s">
        <v>23</v>
      </c>
    </row>
    <row r="417" spans="1:9" ht="29.95" customHeight="1" x14ac:dyDescent="0.25">
      <c r="B417" s="87" t="s">
        <v>96</v>
      </c>
      <c r="C417" s="208" t="s">
        <v>136</v>
      </c>
      <c r="D417" s="208"/>
      <c r="E417" s="87" t="s">
        <v>97</v>
      </c>
      <c r="F417" s="114" t="s">
        <v>125</v>
      </c>
    </row>
    <row r="418" spans="1:9" ht="29.95" customHeight="1" x14ac:dyDescent="0.25">
      <c r="B418" s="87" t="s">
        <v>98</v>
      </c>
      <c r="C418" s="191"/>
      <c r="D418" s="191"/>
      <c r="E418" s="87" t="s">
        <v>99</v>
      </c>
      <c r="F418" s="110"/>
    </row>
    <row r="419" spans="1:9" x14ac:dyDescent="0.25">
      <c r="I419" s="105"/>
    </row>
    <row r="421" spans="1:9" x14ac:dyDescent="0.25">
      <c r="A421" s="189" t="s">
        <v>100</v>
      </c>
      <c r="B421" s="189"/>
      <c r="C421" s="189"/>
      <c r="D421" s="189"/>
      <c r="E421" s="192"/>
      <c r="F421" s="192"/>
      <c r="G421" s="98"/>
      <c r="H421" s="98"/>
    </row>
    <row r="422" spans="1:9" ht="30.15" x14ac:dyDescent="0.25">
      <c r="A422" s="87" t="s">
        <v>101</v>
      </c>
      <c r="B422" s="89" t="s">
        <v>102</v>
      </c>
      <c r="C422" s="89" t="s">
        <v>133</v>
      </c>
      <c r="D422" s="89" t="s">
        <v>104</v>
      </c>
      <c r="E422" s="89" t="s">
        <v>105</v>
      </c>
      <c r="F422" s="89" t="s">
        <v>106</v>
      </c>
      <c r="G422" s="99"/>
      <c r="H422" s="99"/>
    </row>
    <row r="423" spans="1:9" ht="20.149999999999999" customHeight="1" x14ac:dyDescent="0.25">
      <c r="A423" s="90">
        <v>1</v>
      </c>
      <c r="B423" s="91" t="s">
        <v>131</v>
      </c>
      <c r="C423" s="88" t="str">
        <f>+$I$6</f>
        <v>Pechuga</v>
      </c>
      <c r="D423" s="91"/>
      <c r="E423" s="88">
        <f>+VLOOKUP($G412,CÁRNICOS!$BW$85:$CA$103,5,FALSE)</f>
        <v>29.567000000000004</v>
      </c>
      <c r="F423" s="92"/>
      <c r="G423" s="100"/>
      <c r="H423" s="100"/>
    </row>
    <row r="424" spans="1:9" ht="20.149999999999999" customHeight="1" x14ac:dyDescent="0.25">
      <c r="A424" s="90">
        <v>2</v>
      </c>
      <c r="B424" s="91" t="s">
        <v>108</v>
      </c>
      <c r="C424" s="91"/>
      <c r="D424" s="91"/>
      <c r="E424" s="91"/>
      <c r="F424" s="91"/>
      <c r="G424" s="100"/>
      <c r="H424" s="100"/>
    </row>
    <row r="426" spans="1:9" x14ac:dyDescent="0.25">
      <c r="A426" s="189" t="s">
        <v>109</v>
      </c>
      <c r="B426" s="189"/>
      <c r="C426" s="189"/>
      <c r="D426" s="189"/>
      <c r="E426" s="192"/>
      <c r="F426" s="192"/>
      <c r="G426" s="98"/>
      <c r="H426" s="98"/>
    </row>
    <row r="427" spans="1:9" ht="25.2" customHeight="1" x14ac:dyDescent="0.25">
      <c r="B427" s="87" t="s">
        <v>110</v>
      </c>
      <c r="C427" s="92"/>
      <c r="D427" s="87" t="s">
        <v>111</v>
      </c>
      <c r="E427" s="206"/>
      <c r="F427" s="206"/>
      <c r="G427" s="101"/>
      <c r="H427" s="101"/>
    </row>
    <row r="428" spans="1:9" ht="25.2" customHeight="1" x14ac:dyDescent="0.25">
      <c r="B428" s="87" t="s">
        <v>112</v>
      </c>
      <c r="C428" s="92"/>
      <c r="D428" s="87" t="s">
        <v>113</v>
      </c>
      <c r="E428" s="206"/>
      <c r="F428" s="206"/>
      <c r="G428" s="101"/>
      <c r="H428" s="101"/>
    </row>
    <row r="429" spans="1:9" ht="25.2" customHeight="1" x14ac:dyDescent="0.25">
      <c r="D429" s="87" t="s">
        <v>97</v>
      </c>
      <c r="E429" s="207"/>
      <c r="F429" s="207"/>
      <c r="G429" s="102"/>
      <c r="H429" s="102"/>
    </row>
    <row r="430" spans="1:9" ht="25.2" customHeight="1" x14ac:dyDescent="0.25">
      <c r="B430" s="87" t="s">
        <v>114</v>
      </c>
      <c r="C430" s="191"/>
      <c r="D430" s="191"/>
      <c r="E430" s="93" t="s">
        <v>115</v>
      </c>
      <c r="F430" s="113"/>
    </row>
    <row r="432" spans="1:9" x14ac:dyDescent="0.25">
      <c r="A432" s="189" t="s">
        <v>116</v>
      </c>
      <c r="B432" s="189"/>
      <c r="C432" s="189"/>
      <c r="D432" s="189"/>
      <c r="E432" s="189"/>
      <c r="F432" s="189"/>
      <c r="G432" s="98"/>
      <c r="H432" s="98"/>
    </row>
    <row r="433" spans="1:8" ht="25.2" customHeight="1" x14ac:dyDescent="0.25">
      <c r="B433" s="93" t="s">
        <v>94</v>
      </c>
      <c r="C433" s="96" t="s">
        <v>124</v>
      </c>
      <c r="D433" s="87" t="s">
        <v>117</v>
      </c>
      <c r="E433" s="190"/>
      <c r="F433" s="190"/>
      <c r="G433" s="103"/>
      <c r="H433" s="103"/>
    </row>
    <row r="434" spans="1:8" ht="25.2" customHeight="1" x14ac:dyDescent="0.25">
      <c r="B434" s="93" t="s">
        <v>95</v>
      </c>
      <c r="C434" s="111" t="str">
        <f>+$G411</f>
        <v>MANIZALES</v>
      </c>
      <c r="D434" s="87" t="s">
        <v>118</v>
      </c>
      <c r="E434" s="190"/>
      <c r="F434" s="190"/>
      <c r="G434" s="103"/>
      <c r="H434" s="103"/>
    </row>
    <row r="435" spans="1:8" ht="25.2" customHeight="1" x14ac:dyDescent="0.25">
      <c r="B435" s="93" t="s">
        <v>119</v>
      </c>
      <c r="C435" s="112"/>
      <c r="D435" s="87" t="s">
        <v>153</v>
      </c>
      <c r="E435" s="205" t="str">
        <f>+VLOOKUP($G411,$K$2:$M$15,3,FALSE)</f>
        <v>CLL 118 # 25-61 KM 13 VIA AL MAGDALENA CONTINUA A LA ESTACION DE TERPEL</v>
      </c>
      <c r="F435" s="205"/>
    </row>
    <row r="436" spans="1:8" ht="25.2" customHeight="1" x14ac:dyDescent="0.25">
      <c r="B436" s="93" t="s">
        <v>120</v>
      </c>
      <c r="C436" s="112"/>
    </row>
    <row r="438" spans="1:8" x14ac:dyDescent="0.25">
      <c r="A438" s="189" t="s">
        <v>121</v>
      </c>
      <c r="B438" s="189"/>
      <c r="C438" s="192"/>
      <c r="D438" s="192"/>
      <c r="E438" s="192"/>
      <c r="F438" s="189"/>
      <c r="G438" s="98"/>
      <c r="H438" s="98"/>
    </row>
    <row r="439" spans="1:8" ht="25.2" customHeight="1" x14ac:dyDescent="0.25">
      <c r="B439" s="93" t="s">
        <v>158</v>
      </c>
      <c r="C439" s="193" t="s">
        <v>171</v>
      </c>
      <c r="D439" s="194"/>
      <c r="E439" s="195"/>
    </row>
    <row r="440" spans="1:8" ht="25.2" customHeight="1" x14ac:dyDescent="0.25">
      <c r="B440" s="87" t="s">
        <v>113</v>
      </c>
      <c r="C440" s="199">
        <v>1298501</v>
      </c>
      <c r="D440" s="194"/>
      <c r="E440" s="195"/>
    </row>
    <row r="441" spans="1:8" ht="25.2" customHeight="1" x14ac:dyDescent="0.25">
      <c r="B441" s="87" t="s">
        <v>122</v>
      </c>
      <c r="C441" s="193" t="s">
        <v>159</v>
      </c>
      <c r="D441" s="194"/>
      <c r="E441" s="195"/>
    </row>
    <row r="442" spans="1:8" ht="25.2" customHeight="1" x14ac:dyDescent="0.25">
      <c r="B442" s="87" t="s">
        <v>123</v>
      </c>
      <c r="C442" s="196"/>
      <c r="D442" s="197"/>
      <c r="E442" s="198"/>
    </row>
  </sheetData>
  <autoFilter ref="B2:B306" xr:uid="{FA55EB4D-628E-4D8C-BB9F-6BD582DB7FB8}"/>
  <mergeCells count="325">
    <mergeCell ref="E298:F298"/>
    <mergeCell ref="A302:F302"/>
    <mergeCell ref="C303:E303"/>
    <mergeCell ref="C304:E304"/>
    <mergeCell ref="C305:E305"/>
    <mergeCell ref="C306:E306"/>
    <mergeCell ref="E291:F291"/>
    <mergeCell ref="E292:F292"/>
    <mergeCell ref="E293:F293"/>
    <mergeCell ref="C294:D294"/>
    <mergeCell ref="A296:F296"/>
    <mergeCell ref="E297:F297"/>
    <mergeCell ref="C279:D279"/>
    <mergeCell ref="C280:D280"/>
    <mergeCell ref="C281:D281"/>
    <mergeCell ref="C282:D282"/>
    <mergeCell ref="A285:F285"/>
    <mergeCell ref="A290:F290"/>
    <mergeCell ref="B275:B276"/>
    <mergeCell ref="C275:D275"/>
    <mergeCell ref="E275:F275"/>
    <mergeCell ref="C276:D276"/>
    <mergeCell ref="E276:F276"/>
    <mergeCell ref="A278:F278"/>
    <mergeCell ref="E264:F264"/>
    <mergeCell ref="A268:F268"/>
    <mergeCell ref="C269:E269"/>
    <mergeCell ref="C270:E270"/>
    <mergeCell ref="C271:E271"/>
    <mergeCell ref="C272:E272"/>
    <mergeCell ref="E257:F257"/>
    <mergeCell ref="E258:F258"/>
    <mergeCell ref="E259:F259"/>
    <mergeCell ref="C260:D260"/>
    <mergeCell ref="A262:F262"/>
    <mergeCell ref="E263:F263"/>
    <mergeCell ref="C245:D245"/>
    <mergeCell ref="C246:D246"/>
    <mergeCell ref="C247:D247"/>
    <mergeCell ref="C248:D248"/>
    <mergeCell ref="A251:F251"/>
    <mergeCell ref="A256:F256"/>
    <mergeCell ref="B241:B242"/>
    <mergeCell ref="C241:D241"/>
    <mergeCell ref="E241:F241"/>
    <mergeCell ref="C242:D242"/>
    <mergeCell ref="E242:F242"/>
    <mergeCell ref="A244:F244"/>
    <mergeCell ref="E230:F230"/>
    <mergeCell ref="A234:F234"/>
    <mergeCell ref="C235:E235"/>
    <mergeCell ref="C236:E236"/>
    <mergeCell ref="C237:E237"/>
    <mergeCell ref="C238:E238"/>
    <mergeCell ref="E223:F223"/>
    <mergeCell ref="E224:F224"/>
    <mergeCell ref="E225:F225"/>
    <mergeCell ref="C226:D226"/>
    <mergeCell ref="A228:F228"/>
    <mergeCell ref="E229:F229"/>
    <mergeCell ref="C211:D211"/>
    <mergeCell ref="C212:D212"/>
    <mergeCell ref="C213:D213"/>
    <mergeCell ref="C214:D214"/>
    <mergeCell ref="A217:F217"/>
    <mergeCell ref="A222:F222"/>
    <mergeCell ref="B207:B208"/>
    <mergeCell ref="C207:D207"/>
    <mergeCell ref="E207:F207"/>
    <mergeCell ref="C208:D208"/>
    <mergeCell ref="E208:F208"/>
    <mergeCell ref="A210:F210"/>
    <mergeCell ref="E196:F196"/>
    <mergeCell ref="A200:F200"/>
    <mergeCell ref="C201:E201"/>
    <mergeCell ref="C202:E202"/>
    <mergeCell ref="C203:E203"/>
    <mergeCell ref="C204:E204"/>
    <mergeCell ref="E189:F189"/>
    <mergeCell ref="E190:F190"/>
    <mergeCell ref="E191:F191"/>
    <mergeCell ref="C192:D192"/>
    <mergeCell ref="A194:F194"/>
    <mergeCell ref="E195:F195"/>
    <mergeCell ref="C177:D177"/>
    <mergeCell ref="C178:D178"/>
    <mergeCell ref="C179:D179"/>
    <mergeCell ref="C180:D180"/>
    <mergeCell ref="A183:F183"/>
    <mergeCell ref="A188:F188"/>
    <mergeCell ref="B173:B174"/>
    <mergeCell ref="C173:D173"/>
    <mergeCell ref="E173:F173"/>
    <mergeCell ref="C174:D174"/>
    <mergeCell ref="E174:F174"/>
    <mergeCell ref="A176:F176"/>
    <mergeCell ref="E162:F162"/>
    <mergeCell ref="A166:F166"/>
    <mergeCell ref="C167:E167"/>
    <mergeCell ref="C168:E168"/>
    <mergeCell ref="C169:E169"/>
    <mergeCell ref="C170:E170"/>
    <mergeCell ref="E155:F155"/>
    <mergeCell ref="E156:F156"/>
    <mergeCell ref="E157:F157"/>
    <mergeCell ref="C158:D158"/>
    <mergeCell ref="A160:F160"/>
    <mergeCell ref="E161:F161"/>
    <mergeCell ref="C143:D143"/>
    <mergeCell ref="C144:D144"/>
    <mergeCell ref="C145:D145"/>
    <mergeCell ref="C146:D146"/>
    <mergeCell ref="A149:F149"/>
    <mergeCell ref="A154:F154"/>
    <mergeCell ref="B139:B140"/>
    <mergeCell ref="C139:D139"/>
    <mergeCell ref="E139:F139"/>
    <mergeCell ref="C140:D140"/>
    <mergeCell ref="E140:F140"/>
    <mergeCell ref="A142:F142"/>
    <mergeCell ref="E128:F128"/>
    <mergeCell ref="A132:F132"/>
    <mergeCell ref="C133:E133"/>
    <mergeCell ref="C134:E134"/>
    <mergeCell ref="C135:E135"/>
    <mergeCell ref="C136:E136"/>
    <mergeCell ref="E121:F121"/>
    <mergeCell ref="E122:F122"/>
    <mergeCell ref="E123:F123"/>
    <mergeCell ref="C124:D124"/>
    <mergeCell ref="A126:F126"/>
    <mergeCell ref="E127:F127"/>
    <mergeCell ref="C109:D109"/>
    <mergeCell ref="C110:D110"/>
    <mergeCell ref="C111:D111"/>
    <mergeCell ref="C112:D112"/>
    <mergeCell ref="A115:F115"/>
    <mergeCell ref="A120:F120"/>
    <mergeCell ref="B105:B106"/>
    <mergeCell ref="C105:D105"/>
    <mergeCell ref="E105:F105"/>
    <mergeCell ref="C106:D106"/>
    <mergeCell ref="E106:F106"/>
    <mergeCell ref="A108:F108"/>
    <mergeCell ref="C99:E99"/>
    <mergeCell ref="C100:E100"/>
    <mergeCell ref="C101:E101"/>
    <mergeCell ref="C102:E102"/>
    <mergeCell ref="E87:F87"/>
    <mergeCell ref="E88:F88"/>
    <mergeCell ref="E89:F89"/>
    <mergeCell ref="C90:D90"/>
    <mergeCell ref="A92:F92"/>
    <mergeCell ref="E93:F93"/>
    <mergeCell ref="E94:F94"/>
    <mergeCell ref="C41:D41"/>
    <mergeCell ref="C42:D42"/>
    <mergeCell ref="C43:D43"/>
    <mergeCell ref="C44:D44"/>
    <mergeCell ref="A47:F47"/>
    <mergeCell ref="A52:F52"/>
    <mergeCell ref="B37:B38"/>
    <mergeCell ref="C37:D37"/>
    <mergeCell ref="E37:F37"/>
    <mergeCell ref="C38:D38"/>
    <mergeCell ref="E38:F38"/>
    <mergeCell ref="A40:F40"/>
    <mergeCell ref="E26:F26"/>
    <mergeCell ref="A30:F30"/>
    <mergeCell ref="C31:E31"/>
    <mergeCell ref="C32:E32"/>
    <mergeCell ref="C33:E33"/>
    <mergeCell ref="C34:E34"/>
    <mergeCell ref="E19:F19"/>
    <mergeCell ref="E20:F20"/>
    <mergeCell ref="E21:F21"/>
    <mergeCell ref="C22:D22"/>
    <mergeCell ref="A24:F24"/>
    <mergeCell ref="E25:F25"/>
    <mergeCell ref="E27:F27"/>
    <mergeCell ref="C7:D7"/>
    <mergeCell ref="C8:D8"/>
    <mergeCell ref="C9:D9"/>
    <mergeCell ref="C10:D10"/>
    <mergeCell ref="A13:F13"/>
    <mergeCell ref="A18:F18"/>
    <mergeCell ref="B3:B4"/>
    <mergeCell ref="C3:D3"/>
    <mergeCell ref="E3:F3"/>
    <mergeCell ref="C4:D4"/>
    <mergeCell ref="E4:F4"/>
    <mergeCell ref="A6:F6"/>
    <mergeCell ref="E332:F332"/>
    <mergeCell ref="A336:F336"/>
    <mergeCell ref="C337:E337"/>
    <mergeCell ref="C338:E338"/>
    <mergeCell ref="C339:E339"/>
    <mergeCell ref="B309:B310"/>
    <mergeCell ref="C309:D309"/>
    <mergeCell ref="E309:F309"/>
    <mergeCell ref="C310:D310"/>
    <mergeCell ref="E310:F310"/>
    <mergeCell ref="A312:F312"/>
    <mergeCell ref="C313:D313"/>
    <mergeCell ref="C314:D314"/>
    <mergeCell ref="C315:D315"/>
    <mergeCell ref="C316:D316"/>
    <mergeCell ref="A319:F319"/>
    <mergeCell ref="A324:F324"/>
    <mergeCell ref="E325:F325"/>
    <mergeCell ref="E326:F326"/>
    <mergeCell ref="E327:F327"/>
    <mergeCell ref="C328:D328"/>
    <mergeCell ref="A330:F330"/>
    <mergeCell ref="E331:F331"/>
    <mergeCell ref="E333:F333"/>
    <mergeCell ref="B377:B378"/>
    <mergeCell ref="C377:D377"/>
    <mergeCell ref="E377:F377"/>
    <mergeCell ref="C378:D378"/>
    <mergeCell ref="E378:F378"/>
    <mergeCell ref="E367:F367"/>
    <mergeCell ref="C362:D362"/>
    <mergeCell ref="E365:F365"/>
    <mergeCell ref="E366:F366"/>
    <mergeCell ref="A370:F370"/>
    <mergeCell ref="C371:E371"/>
    <mergeCell ref="C372:E372"/>
    <mergeCell ref="C373:E373"/>
    <mergeCell ref="E361:F361"/>
    <mergeCell ref="A364:F364"/>
    <mergeCell ref="A353:F353"/>
    <mergeCell ref="A358:F358"/>
    <mergeCell ref="E359:F359"/>
    <mergeCell ref="E360:F360"/>
    <mergeCell ref="C374:E374"/>
    <mergeCell ref="C340:E340"/>
    <mergeCell ref="B343:B344"/>
    <mergeCell ref="C343:D343"/>
    <mergeCell ref="E343:F343"/>
    <mergeCell ref="C344:D344"/>
    <mergeCell ref="E344:F344"/>
    <mergeCell ref="B411:B412"/>
    <mergeCell ref="E400:F400"/>
    <mergeCell ref="A404:F404"/>
    <mergeCell ref="C405:E405"/>
    <mergeCell ref="C406:E406"/>
    <mergeCell ref="C407:E407"/>
    <mergeCell ref="C408:E408"/>
    <mergeCell ref="E401:F401"/>
    <mergeCell ref="C396:D396"/>
    <mergeCell ref="A398:F398"/>
    <mergeCell ref="C384:D384"/>
    <mergeCell ref="E399:F399"/>
    <mergeCell ref="A387:F387"/>
    <mergeCell ref="A392:F392"/>
    <mergeCell ref="E394:F394"/>
    <mergeCell ref="E395:F395"/>
    <mergeCell ref="E95:F95"/>
    <mergeCell ref="E129:F129"/>
    <mergeCell ref="E163:F163"/>
    <mergeCell ref="E197:F197"/>
    <mergeCell ref="E231:F231"/>
    <mergeCell ref="E265:F265"/>
    <mergeCell ref="E299:F299"/>
    <mergeCell ref="A98:F98"/>
    <mergeCell ref="E393:F393"/>
    <mergeCell ref="A380:F380"/>
    <mergeCell ref="C381:D381"/>
    <mergeCell ref="C382:D382"/>
    <mergeCell ref="C383:D383"/>
    <mergeCell ref="A346:F346"/>
    <mergeCell ref="C347:D347"/>
    <mergeCell ref="C348:D348"/>
    <mergeCell ref="C349:D349"/>
    <mergeCell ref="C350:D350"/>
    <mergeCell ref="C78:D78"/>
    <mergeCell ref="A81:F81"/>
    <mergeCell ref="A86:F86"/>
    <mergeCell ref="B71:B72"/>
    <mergeCell ref="C71:D71"/>
    <mergeCell ref="E71:F71"/>
    <mergeCell ref="C72:D72"/>
    <mergeCell ref="E72:F72"/>
    <mergeCell ref="A74:F74"/>
    <mergeCell ref="E53:F53"/>
    <mergeCell ref="E54:F54"/>
    <mergeCell ref="E55:F55"/>
    <mergeCell ref="C56:D56"/>
    <mergeCell ref="A58:F58"/>
    <mergeCell ref="E59:F59"/>
    <mergeCell ref="C75:D75"/>
    <mergeCell ref="C76:D76"/>
    <mergeCell ref="C77:D77"/>
    <mergeCell ref="E61:F61"/>
    <mergeCell ref="E60:F60"/>
    <mergeCell ref="A64:F64"/>
    <mergeCell ref="C65:E65"/>
    <mergeCell ref="C66:E66"/>
    <mergeCell ref="C67:E67"/>
    <mergeCell ref="C68:E68"/>
    <mergeCell ref="C441:E441"/>
    <mergeCell ref="C442:E442"/>
    <mergeCell ref="A438:F438"/>
    <mergeCell ref="C439:E439"/>
    <mergeCell ref="C440:E440"/>
    <mergeCell ref="C411:D411"/>
    <mergeCell ref="E411:F411"/>
    <mergeCell ref="C412:D412"/>
    <mergeCell ref="E412:F412"/>
    <mergeCell ref="A414:F414"/>
    <mergeCell ref="C415:D415"/>
    <mergeCell ref="C416:D416"/>
    <mergeCell ref="E435:F435"/>
    <mergeCell ref="E427:F427"/>
    <mergeCell ref="E428:F428"/>
    <mergeCell ref="E429:F429"/>
    <mergeCell ref="C430:D430"/>
    <mergeCell ref="A432:F432"/>
    <mergeCell ref="E433:F433"/>
    <mergeCell ref="E434:F434"/>
    <mergeCell ref="C417:D417"/>
    <mergeCell ref="C418:D418"/>
    <mergeCell ref="A421:F421"/>
    <mergeCell ref="A426:F426"/>
  </mergeCells>
  <printOptions horizontalCentered="1" verticalCentered="1"/>
  <pageMargins left="0.31496062992125984" right="0.31496062992125984" top="0.94488188976377963" bottom="0.55118110236220474" header="0.31496062992125984" footer="0.31496062992125984"/>
  <pageSetup scale="85" orientation="portrait" r:id="rId1"/>
  <headerFooter>
    <oddHeader>&amp;L&amp;"-,Negrita"
EXTRICTAMENTE PARA CONSUMO NACIONAL - 
GUÍA DE TRANSPORTE DE CARNE DESHUESADA DE RES, CERDO Y AVIAR&amp;C
&amp;G&amp;R&amp;"-,Negrita"&amp;G</oddHeader>
    <oddFooter>&amp;C&amp;"-,Negrita"&amp;12COPIA NO CONTROLADA
Ante la duda, para certificar comuníquese a los siguientes canales:
Celular: 310 369 9499
Correo: suministrosylogisticadeoriente@gmail.com</oddFooter>
  </headerFooter>
  <rowBreaks count="12" manualBreakCount="12">
    <brk id="34" max="5" man="1"/>
    <brk id="68" max="5" man="1"/>
    <brk id="102" max="5" man="1"/>
    <brk id="136" max="5" man="1"/>
    <brk id="170" max="5" man="1"/>
    <brk id="204" max="5" man="1"/>
    <brk id="238" max="5" man="1"/>
    <brk id="272" max="5" man="1"/>
    <brk id="306" max="5" man="1"/>
    <brk id="340" max="5" man="1"/>
    <brk id="374" max="5" man="1"/>
    <brk id="408" max="5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CÁRNICOS</vt:lpstr>
      <vt:lpstr>CONSOLIDADO</vt:lpstr>
      <vt:lpstr>GUÍAS CERDO</vt:lpstr>
      <vt:lpstr>GUÍAS RES</vt:lpstr>
      <vt:lpstr>GUÍAS POLLO</vt:lpstr>
      <vt:lpstr>CÁRNICOS!Área_de_impresión</vt:lpstr>
      <vt:lpstr>CONSOLIDADO!Área_de_impresión</vt:lpstr>
      <vt:lpstr>'GUÍAS CERDO'!Área_de_impresión</vt:lpstr>
      <vt:lpstr>'GUÍAS POLLO'!Área_de_impresión</vt:lpstr>
      <vt:lpstr>'GUÍAS RES'!Área_de_impresión</vt:lpstr>
      <vt:lpstr>CÁRNICOS!Títulos_a_imprimir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</dc:creator>
  <cp:lastModifiedBy>DANIEL BEDOYA</cp:lastModifiedBy>
  <cp:lastPrinted>2025-09-02T23:10:35Z</cp:lastPrinted>
  <dcterms:created xsi:type="dcterms:W3CDTF">2015-07-15T15:11:13Z</dcterms:created>
  <dcterms:modified xsi:type="dcterms:W3CDTF">2026-04-07T18:37:29Z</dcterms:modified>
</cp:coreProperties>
</file>